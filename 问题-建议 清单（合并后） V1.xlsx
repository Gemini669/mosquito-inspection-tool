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460" windowHeight="11200"/>
  </bookViews>
  <sheets>
    <sheet name="问题建议库" sheetId="1" r:id="rId1"/>
    <sheet name="合并统计" sheetId="2" r:id="rId2"/>
    <sheet name="原始记录追溯" sheetId="3" r:id="rId3"/>
    <sheet name="合并口径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<sst xmlns="http://schemas.openxmlformats.org/spreadsheetml/2006/main" count="4164" uniqueCount="1350">
  <si>
    <t>序号</t>
  </si>
  <si>
    <t>问题编号</t>
  </si>
  <si>
    <t>工作领域（统一）</t>
  </si>
  <si>
    <t>可能发现的问题</t>
  </si>
  <si>
    <t>可能造成的不良后果</t>
  </si>
  <si>
    <t>后果类别编号</t>
  </si>
  <si>
    <t>后果类别名称</t>
  </si>
  <si>
    <t>疾控中心技术建议</t>
  </si>
  <si>
    <t>协作责任方（建议）</t>
  </si>
  <si>
    <t>建议复核点</t>
  </si>
  <si>
    <t>整改时效建议（非强制）</t>
  </si>
  <si>
    <t>疾病适用</t>
  </si>
  <si>
    <t>权威依据网址</t>
  </si>
  <si>
    <t>现场状态</t>
  </si>
  <si>
    <t>原始编号与来源</t>
  </si>
  <si>
    <t>原始场景分类</t>
  </si>
  <si>
    <t>合并说明</t>
  </si>
  <si>
    <t>M001</t>
  </si>
  <si>
    <t>居民住宅与宿舍</t>
  </si>
  <si>
    <t>住宅或宿舍内水桶、脸盆等容器存在积水</t>
  </si>
  <si>
    <t>积水、敞口容器或未有效管理的水体可能提供伊蚊产卵和幼虫发育条件，进而使局部蚊媒密度上升、叮咬风险增加。</t>
  </si>
  <si>
    <t>H01</t>
  </si>
  <si>
    <t>潜在伊蚊孳生及蚊媒密度上升</t>
  </si>
  <si>
    <t>倒尽积水并刷洗内壁；闲置容器倒置或移除，确需储水的容器应严密加盖、定期清洗。</t>
  </si>
  <si>
    <t>业主/住户/宿舍管理单位</t>
  </si>
  <si>
    <t>现场核查处理完成情况、必要时复测蚊媒指标</t>
  </si>
  <si>
    <t>立即处理</t>
  </si>
  <si>
    <t>登革热、基孔肯雅热</t>
  </si>
  <si>
    <t>https://cdcp.gd.gov.cn/ywdt/jkyw/content/post_4746753.html
https://www.ndcpa.gov.cn/jbkzzx/c100014/2042601950245457920/cHUWFaSu.pdf
https://www.cdc.gov/mosquitoes/mosquito-control/mosquito-control-at-home.html</t>
  </si>
  <si>
    <t>未检查</t>
  </si>
  <si>
    <t>文件1：P001；文件2：A01</t>
  </si>
  <si>
    <t>室内及容器积水；A 居民住宅和宿舍</t>
  </si>
  <si>
    <t>2个文件中相同或近义问题已合并；原始建议和用词见追溯表</t>
  </si>
  <si>
    <t>M002</t>
  </si>
  <si>
    <t>生活储水桶、储水缸未加盖或封盖不严</t>
  </si>
  <si>
    <t>加装严密贴合的盖板或防蚊网，定期检查完整性，防止伊蚊进入产卵。</t>
  </si>
  <si>
    <t>文件1：P002；文件2：A05</t>
  </si>
  <si>
    <t>M003</t>
  </si>
  <si>
    <t>富贵竹等水养植物容器长期未换水</t>
  </si>
  <si>
    <t>每周至少彻底换水1次，必要时改用沙石栽培或防蚊容器</t>
  </si>
  <si>
    <t>属地相关部门／场所管理责任单位（按职责）</t>
  </si>
  <si>
    <t>现场核查容器及积水处理情况，必要时开展蚊媒复测</t>
  </si>
  <si>
    <t>尽快整改</t>
  </si>
  <si>
    <t>https://cdcp.gd.gov.cn/ywdt/jkyw/content/post_4746753.html</t>
  </si>
  <si>
    <t>文件1：P003</t>
  </si>
  <si>
    <t>室内及容器积水</t>
  </si>
  <si>
    <t>文件1独有问题，保留</t>
  </si>
  <si>
    <t>M004</t>
  </si>
  <si>
    <t>水养植物仅换水，未清洗瓶壁及根须</t>
  </si>
  <si>
    <t>换水时同时刷洗容器内壁、冲洗根部，清除附着蚊卵及幼蚊</t>
  </si>
  <si>
    <t>文件1：P004</t>
  </si>
  <si>
    <t>M005</t>
  </si>
  <si>
    <t>室内外花盆托盘（含公共花盆）长期积水</t>
  </si>
  <si>
    <t>及时倒掉托盘积水，调整浇水方式，定期巡查公共及室内花盆托盘。</t>
  </si>
  <si>
    <t>业主/住户/宿舍管理单位；社区/村委/物业/相关管理单位</t>
  </si>
  <si>
    <t>https://cdcp.gd.gov.cn/jkjy/jkzt/xdybmswkz/content/mpost_4203712.html
https://www.ndcpa.gov.cn/jbkzzx/c100014/2042601950245457920/cHUWFaSu.pdf
https://www.cdc.gov/mosquitoes/mosquito-control/mosquito-control-at-home.html
https://cdcp.gd.gov.cn/gcdcdfiles/1m5/201809/ea6eb7405cbf4faca7837c8cdcfdfd28/files/a6877c37788745bb9959013fe6702101.pdf</t>
  </si>
  <si>
    <t>文件1：P005；文件2：A04,C08</t>
  </si>
  <si>
    <t>室内及容器积水；A 居民住宅和宿舍；C 村居社区公共环境</t>
  </si>
  <si>
    <t>M006</t>
  </si>
  <si>
    <t>空调冷凝水接水盘、临时接水桶积水或排水不畅</t>
  </si>
  <si>
    <t>清空并刷洗接水盘或接水桶，疏通冷凝水排放管道，建立定期检查机制。</t>
  </si>
  <si>
    <t>文件1：P006；文件2：A07</t>
  </si>
  <si>
    <t>M007</t>
  </si>
  <si>
    <t>冰箱底部接水盘存在长期积水</t>
  </si>
  <si>
    <t>清理并刷洗接水盘，检查排水状态，定期巡查</t>
  </si>
  <si>
    <t>https://www.cdc.gov/mosquitoes/mosquito-control/mosquito-control-at-home.html</t>
  </si>
  <si>
    <t>文件1：P007</t>
  </si>
  <si>
    <t>M008</t>
  </si>
  <si>
    <t>浴室、卫生间内临时储水盆桶敞口放置</t>
  </si>
  <si>
    <t>非必需储水及时倾倒；必须储水时加盖防蚊并定期换洗</t>
  </si>
  <si>
    <t>文件1：P008；文件2：A06</t>
  </si>
  <si>
    <t>M009</t>
  </si>
  <si>
    <t>宠物或家禽饮水槽、饮水器具长期未换水或未刷洗</t>
  </si>
  <si>
    <t>定期更换饮水、刷洗容器（建议至少每周彻底换水刷洗一次），同时保障动物正常饮水。</t>
  </si>
  <si>
    <t>文件1：P009；文件2：A14</t>
  </si>
  <si>
    <t>M010</t>
  </si>
  <si>
    <t>洗衣机、废旧电器凹槽或水盘存在积水</t>
  </si>
  <si>
    <t>排净设备凹槽中的积水，废旧电器及时清运或遮雨防积水</t>
  </si>
  <si>
    <t>https://cdcp.gd.gov.cn/jkjy/jkzt/xdybmswkz/content/mpost_4203712.html</t>
  </si>
  <si>
    <t>文件1：P010</t>
  </si>
  <si>
    <t>M011</t>
  </si>
  <si>
    <t>室内有蚊幼虫阳性积水容器，未及时处理</t>
  </si>
  <si>
    <t>现场已发现蚊幼虫阳性容器，如未及时处理，幼蚊可能继续发育羽化为成蚊，增加局部蚊媒密度和叮咬风险。</t>
  </si>
  <si>
    <t>立即清除阳性积水、刷洗器壁，并检查相邻容器有无同类孳生</t>
  </si>
  <si>
    <t>https://www.ndcpa.gov.cn/jbkzzx/c100014/2042601950245457920/cHUWFaSu.pdf</t>
  </si>
  <si>
    <t>文件1：P011</t>
  </si>
  <si>
    <t>M012</t>
  </si>
  <si>
    <t>水桶已清空但未倒置，雨后容易再次积水</t>
  </si>
  <si>
    <t>空容器如在雨后重新蓄水，可能形成新的伊蚊孳生环境，导致孳生风险反复出现。</t>
  </si>
  <si>
    <t>将空桶倒置或集中室内存放，并保持雨后复查</t>
  </si>
  <si>
    <t>文件1：P012</t>
  </si>
  <si>
    <t>M013</t>
  </si>
  <si>
    <t>屋顶水箱或生活蓄水设施检修口未严密封闭</t>
  </si>
  <si>
    <t>检修口或通气口未封闭，若设施内存在适宜的蓄水条件，伊蚊可能进入产卵，形成潜在孳生地。</t>
  </si>
  <si>
    <t>完善水箱加盖、通气口防蚊网等防护，并由设施管理方维护</t>
  </si>
  <si>
    <t>文件1：P013</t>
  </si>
  <si>
    <t>M014</t>
  </si>
  <si>
    <t>社区环境与绿化</t>
  </si>
  <si>
    <t>房前屋后散落或堆积瓶罐、塑料杯、旧家具等易积水垃圾</t>
  </si>
  <si>
    <t>清理房前屋后瓶罐及其他易积水废弃物，分类清运，落实日常保洁和雨后复查。</t>
  </si>
  <si>
    <t>社区/村委/物业/相关管理单位</t>
  </si>
  <si>
    <t>https://www.ndcpa.gov.cn/jbkzzx/c100014/2042601950245457920/cHUWFaSu.pdf
https://cdcp.gd.gov.cn/gcdcdfiles/1m5/201809/ea6eb7405cbf4faca7837c8cdcfdfd28/files/a6877c37788745bb9959013fe6702101.pdf</t>
  </si>
  <si>
    <t>文件1：P014；文件2：C01</t>
  </si>
  <si>
    <t>室外垃圾及绿化；C 村居社区公共环境</t>
  </si>
  <si>
    <t>M015</t>
  </si>
  <si>
    <t>绿化带内塑料膜、包装袋和一次性餐盒积水</t>
  </si>
  <si>
    <t>清除绿化带垃圾，重点检查灌木根部和隐蔽角落</t>
  </si>
  <si>
    <t>https://cdcp.gd.gov.cn/jkjy/jkzt/xdybmswkz/content/mpost_4203712.html
https://www.ndcpa.gov.cn/jbkzzx/c100014/2042601950245457920/cHUWFaSu.pdf
https://cdcp.gd.gov.cn/gcdcdfiles/1m5/201809/ea6eb7405cbf4faca7837c8cdcfdfd28/files/a6877c37788745bb9959013fe6702101.pdf</t>
  </si>
  <si>
    <t>文件1：P015；文件2：C07</t>
  </si>
  <si>
    <t>M016</t>
  </si>
  <si>
    <t>厂区工地与仓储</t>
  </si>
  <si>
    <t>废旧轮胎露天堆放并存有积水</t>
  </si>
  <si>
    <t>及时清空积水，轮胎移入避雨处或严密遮盖，避免遮盖布再次积水</t>
  </si>
  <si>
    <t>企业/施工单位/物业</t>
  </si>
  <si>
    <t>https://cdcp.gd.gov.cn/jkjy/jkzt/xdybmswkz/content/mpost_4203712.html
https://www.ndcpa.gov.cn/jbkzzx/c100014/2042601950245457920/cHUWFaSu.pdf
https://cdcp.gd.gov.cn/ywdt/jkyw/content/post_4751182.html</t>
  </si>
  <si>
    <t>文件1：P016；文件2：B01</t>
  </si>
  <si>
    <t>室外垃圾及绿化；B 工厂和建筑工地</t>
  </si>
  <si>
    <t>M017</t>
  </si>
  <si>
    <t>防雨布、帆布下陷形成积水洼槽</t>
  </si>
  <si>
    <t>拉紧或调整覆盖材料坡度，清除凹陷积水，雨后重点复查</t>
  </si>
  <si>
    <t>文件1：P017；文件2：B04</t>
  </si>
  <si>
    <t>M018</t>
  </si>
  <si>
    <t>闲置桶、盆、瓶、花盆及小容器露天堆放，易在雨后积水</t>
  </si>
  <si>
    <t>闲置容器在降雨后可能蓄积雨水，形成新增伊蚊孳生地，使局部蚊媒控制成果难以维持。</t>
  </si>
  <si>
    <t>统一清运闲置容器；暂时保留的容器应倒置、加盖或移至避雨处，雨后复查。</t>
  </si>
  <si>
    <t>文件1：P018；文件2：A02</t>
  </si>
  <si>
    <t>室外垃圾及绿化；A 居民住宅和宿舍</t>
  </si>
  <si>
    <t>M019</t>
  </si>
  <si>
    <t>树洞、树杈等植物凹陷部位积水</t>
  </si>
  <si>
    <t>清除树洞、树杈及天然凹陷部位积水，采用不伤害植物的适当排水或封堵措施并定期复查。</t>
  </si>
  <si>
    <t>https://www.cdc.gov/mosquitoes/mosquito-control/mosquito-control-at-home.html
https://www.ndcpa.gov.cn/jbkzzx/c100014/2042601950245457920/cHUWFaSu.pdf
https://cdcp.gd.gov.cn/gcdcdfiles/1m5/201809/ea6eb7405cbf4faca7837c8cdcfdfd28/files/a6877c37788745bb9959013fe6702101.pdf</t>
  </si>
  <si>
    <t>文件1：P019；文件2：C05</t>
  </si>
  <si>
    <t>M020</t>
  </si>
  <si>
    <t>竹节、竹筒或竹制支架断面形成积水</t>
  </si>
  <si>
    <t>对积水竹节进行疏通、封堵或结构改造，及时清除积水</t>
  </si>
  <si>
    <t>文件1：P020</t>
  </si>
  <si>
    <t>室外垃圾及绿化</t>
  </si>
  <si>
    <t>M021</t>
  </si>
  <si>
    <t>绿化修剪后枝叶堆积形成卫生死角</t>
  </si>
  <si>
    <t>因场所无人巡查、卫生死角遮挡或缺乏雨后排查，潜在积水及孳生地可能长期漏查、反复出现，造成后续控制困难。</t>
  </si>
  <si>
    <t>H02</t>
  </si>
  <si>
    <t>隐蔽孳生地漏查和反复出现</t>
  </si>
  <si>
    <t>及时清运修剪废弃物，清理被遮挡的容器和小型积水点</t>
  </si>
  <si>
    <t>核查风险点清单、巡查频次及复查记录</t>
  </si>
  <si>
    <t>文件1：P021</t>
  </si>
  <si>
    <t>M022</t>
  </si>
  <si>
    <t>废旧建材、金属构件凹陷处存有积水</t>
  </si>
  <si>
    <t>清理、翻转或规范堆放建材，无法清除者采取防积水措施</t>
  </si>
  <si>
    <t>文件1：P022</t>
  </si>
  <si>
    <t>M023</t>
  </si>
  <si>
    <t>厂区、绿地或闲置空地杂草密集、杂物堆积，易形成成蚊栖息场所</t>
  </si>
  <si>
    <t>成蚊可能更容易栖息、进入人员活动场所或叮咬人群，从而增加蚊媒接触机会；有传染源等条件时可能提高传播风险。</t>
  </si>
  <si>
    <t>H03</t>
  </si>
  <si>
    <t>成蚊栖息、侵入和人员叮咬暴露</t>
  </si>
  <si>
    <t>清理室外杂草、垃圾及堆积物，适当修剪植被，必要时结合成蚊监测开展针对性控制。</t>
  </si>
  <si>
    <t>企业/施工单位/物业；社区/村委/物业/相关管理单位</t>
  </si>
  <si>
    <t>https://www.ndcpa.gov.cn/jbkzzx/c100014/2042601950245457920/cHUWFaSu.pdf
https://cdcp.gd.gov.cn/ywdt/jkyw/content/post_4751182.html
https://cdcp.gd.gov.cn/gcdcdfiles/1m5/201809/ea6eb7405cbf4faca7837c8cdcfdfd28/files/a6877c37788745bb9959013fe6702101.pdf</t>
  </si>
  <si>
    <t>文件1：P023；文件2：B10,C10</t>
  </si>
  <si>
    <t>室外垃圾及绿化；B 工厂和建筑工地；C 村居社区公共环境</t>
  </si>
  <si>
    <t>M024</t>
  </si>
  <si>
    <t>垃圾收集点周边存在积水瓶罐或排水不畅</t>
  </si>
  <si>
    <t>落实垃圾日产日清，清理可积水垃圾并疏通收集点排水</t>
  </si>
  <si>
    <t>文件1：P024</t>
  </si>
  <si>
    <t>M025</t>
  </si>
  <si>
    <t>菜地边缘废弃容器、工具或薄膜存在积水</t>
  </si>
  <si>
    <t>开展菜地周边专项清理，容器倒置收纳，废弃薄膜及时回收</t>
  </si>
  <si>
    <t>文件1：P025</t>
  </si>
  <si>
    <t>M026</t>
  </si>
  <si>
    <t>排水系统与固定水体</t>
  </si>
  <si>
    <t>房前屋后或建筑工地排水沟淤堵并形成积水</t>
  </si>
  <si>
    <t>及时清理淤泥、落叶和垃圾，恢复沟渠排水功能，雨前雨后加强巡查。</t>
  </si>
  <si>
    <t>https://cdcp.gd.gov.cn/ywdt/jkyw/content/post_4746753.html
https://www.ndcpa.gov.cn/jbkzzx/c100014/2042601950245457920/cHUWFaSu.pdf
https://cdcp.gd.gov.cn/ywdt/jkyw/content/post_4751182.html</t>
  </si>
  <si>
    <t>文件1：P026；文件2：B07</t>
  </si>
  <si>
    <t>排水系统及固定水体；B 工厂和建筑工地</t>
  </si>
  <si>
    <t>M027</t>
  </si>
  <si>
    <t>屋顶、天台、屋檐排水沟堵塞积水</t>
  </si>
  <si>
    <t>清理落叶杂物、疏通屋顶及檐沟排水，检查坡度并在降雨后复查。</t>
  </si>
  <si>
    <t>文件1：P027；文件2：C03</t>
  </si>
  <si>
    <t>排水系统及固定水体；C 村居社区公共环境</t>
  </si>
  <si>
    <t>M028</t>
  </si>
  <si>
    <t>地面坑洼、低洼地带雨后长期积水</t>
  </si>
  <si>
    <t>排净积水并填平洼地，必要时实施地面找坡或排水改造</t>
  </si>
  <si>
    <t>文件1：P028；文件2：C11</t>
  </si>
  <si>
    <t>M029</t>
  </si>
  <si>
    <t>建筑基坑、地下施工区域存在不能及时排走的积水</t>
  </si>
  <si>
    <t>加强抽排水和工地排水设施管理；无法排除的非饮用水在专业指导下处理幼蚊</t>
  </si>
  <si>
    <t>https://www.ndcpa.gov.cn/jbkzzx/c100014/2042601950245457920/cHUWFaSu.pdf
https://cdcp.gd.gov.cn/ywdt/jkyw/content/post_4751182.html</t>
  </si>
  <si>
    <t>文件1：P029；文件2：B05</t>
  </si>
  <si>
    <t>M030</t>
  </si>
  <si>
    <t>地下室、地下车库集水井敞口且有积水</t>
  </si>
  <si>
    <t>加装适宜的防蚊密封盖或防蚊网，定期检查积水和排水泵运行</t>
  </si>
  <si>
    <t>文件1：P030；文件2：C09</t>
  </si>
  <si>
    <t>M031</t>
  </si>
  <si>
    <t>雨水井、沉沙井等井口缺少有效防蚊措施</t>
  </si>
  <si>
    <t>井口缺乏防蚊屏障，在存在适宜积水时可能允许伊蚊进入产卵，使隐蔽设施成为潜在孳生地。</t>
  </si>
  <si>
    <t>完善防蚊闸、防蚊网等设施，维护排水功能并定期检修</t>
  </si>
  <si>
    <t>文件1：P031</t>
  </si>
  <si>
    <t>排水系统及固定水体</t>
  </si>
  <si>
    <t>M032</t>
  </si>
  <si>
    <t>公园或景观水池水体静止、难以排空且缺乏幼蚊防制</t>
  </si>
  <si>
    <t>优先保持水体流动、定期清洗；无法排空的非饮用水体经专业评估后采取适宜的生态、物理或灭幼措施。</t>
  </si>
  <si>
    <t>学校/医疗机构/养老院/经营管理单位</t>
  </si>
  <si>
    <t>文件1：P032；文件2：D10</t>
  </si>
  <si>
    <t>排水系统及固定水体；D 学校医疗养老公共场所</t>
  </si>
  <si>
    <t>M033</t>
  </si>
  <si>
    <t>喷泉停止运行后池内长期存水</t>
  </si>
  <si>
    <t>停用期间排空清洗，恢复运行后定期检查水循环和幼蚊孳生情况</t>
  </si>
  <si>
    <t>文件1：P033</t>
  </si>
  <si>
    <t>M034</t>
  </si>
  <si>
    <t>废弃景观缸、莲花缸或人工小水体长期敞口</t>
  </si>
  <si>
    <t>对无用途水体实施排空或移除；保留水体应采取有效生态或幼蚊控制</t>
  </si>
  <si>
    <t>文件1：P034</t>
  </si>
  <si>
    <t>M035</t>
  </si>
  <si>
    <t>消防储水设施敞口，存在蚊虫进入产卵风险</t>
  </si>
  <si>
    <t>储水设施缺少防蚊封闭条件，在存在适宜水体时可能让伊蚊进入产卵，形成难以清理的潜在孳生地。</t>
  </si>
  <si>
    <t>在不影响消防安全和功能的前提下完善防蚊封闭措施，协调管理方巡查</t>
  </si>
  <si>
    <t>文件1：P035</t>
  </si>
  <si>
    <t>M036</t>
  </si>
  <si>
    <t>室外雨水收集桶或蓄水罐缺少密闭措施</t>
  </si>
  <si>
    <t>对蓄水容器加盖或安装有效防蚊网，并安排清理和维护</t>
  </si>
  <si>
    <t>文件1：P036</t>
  </si>
  <si>
    <t>M037</t>
  </si>
  <si>
    <t>停用或长期未维护的泳池、小型戏水池有积水</t>
  </si>
  <si>
    <t>排空、刷洗和覆盖停用设施；在用水体按相关卫生及水处理要求维护</t>
  </si>
  <si>
    <t>https://www.cdc.gov/mosquitoes/mosquito-control/larvicides.html</t>
  </si>
  <si>
    <t>文件1：P037</t>
  </si>
  <si>
    <t>M038</t>
  </si>
  <si>
    <t>化粪池、井盖缝隙或损坏管井存在蚊虫出入风险</t>
  </si>
  <si>
    <t>井盖或管井破损可能增加蚊虫出入和人员接触机会；若内部有适宜积水，还可能形成隐蔽孳生地。</t>
  </si>
  <si>
    <t>修补破损和缝隙、完善密闭设施，检查附属排水管路</t>
  </si>
  <si>
    <t>核查防蚊设施、人员防叮咬及现场成蚊情况</t>
  </si>
  <si>
    <t>文件1：P038</t>
  </si>
  <si>
    <t>M039</t>
  </si>
  <si>
    <t>养殖池、农业灌溉储水容器存在裸露小型静水</t>
  </si>
  <si>
    <t>对小型储水容器加盖防蚊，排除闲置积水；保留水体采取适宜综合防制</t>
  </si>
  <si>
    <t>文件1：P039</t>
  </si>
  <si>
    <t>M040</t>
  </si>
  <si>
    <t>厂区宿舍水培植物较多，长期未换水或刷洗容器</t>
  </si>
  <si>
    <t>对宿舍水培植物逐室排查，优先采用不易积水的养护方式；保留水培的至少每周换水一次，同时刷洗瓶壁和根部。</t>
  </si>
  <si>
    <t>文件1：P040；文件2：A03</t>
  </si>
  <si>
    <t>重点场所管理；A 居民住宅和宿舍</t>
  </si>
  <si>
    <t>M041</t>
  </si>
  <si>
    <t>空置宿舍、闲置房间长期无人巡查</t>
  </si>
  <si>
    <t>建立空置宿舍清单，协调责任人依法依规定期入内检查、清理积水，记录巡查及处置情况。</t>
  </si>
  <si>
    <t>https://www.ndcpa.gov.cn/jbkzzx/c100014/2042601950245457920/cHUWFaSu.pdf
https://www.cdc.gov/mosquitoes/mosquito-control/mosquito-control-at-home.html</t>
  </si>
  <si>
    <t>文件1：P041；文件2：A09</t>
  </si>
  <si>
    <t>M042</t>
  </si>
  <si>
    <t>工厂厂区生产设备、闲置料框内存在积水</t>
  </si>
  <si>
    <t>排查设备凹槽、料框及待处理物料，做到及时排水、倒置或遮盖</t>
  </si>
  <si>
    <t>文件1：P042；文件2：B02</t>
  </si>
  <si>
    <t>重点场所管理；B 工厂和建筑工地</t>
  </si>
  <si>
    <t>M043</t>
  </si>
  <si>
    <t>学校及公共重点场所</t>
  </si>
  <si>
    <t>学校教室或办公区域水培植物容器无人管理、换水刷洗不到位</t>
  </si>
  <si>
    <t>明确班级或科室责任人，每周至少换水一次，刷洗容器内壁和植物根部，必要时调整种植方式。</t>
  </si>
  <si>
    <t>文件1：P043；文件2：D01</t>
  </si>
  <si>
    <t>重点场所管理；D 学校医疗养老公共场所</t>
  </si>
  <si>
    <t>M044</t>
  </si>
  <si>
    <t>学校、幼儿园户外运动器材、玩具或轮胎教具凹槽积水</t>
  </si>
  <si>
    <t>定期检查学校和托幼机构户外设施，活动后排空积水，清洗并遮雨收纳；雨后重点复查。</t>
  </si>
  <si>
    <t>https://cdcp.gd.gov.cn/zzzq/jkts/content/post_4751181.html
https://www.ndcpa.gov.cn/jbkzzx/c100014/2042601950245457920/cHUWFaSu.pdf
https://cdcp.gd.gov.cn/ywdt/jkyw/content/post_4751182.html</t>
  </si>
  <si>
    <t>文件1：P044；文件2：D02</t>
  </si>
  <si>
    <t>M045</t>
  </si>
  <si>
    <t>学校食堂、宿舍、图书馆周边存在积水及蚊虫孳生隐患</t>
  </si>
  <si>
    <t>周边积水如未排除，可能为伊蚊提供产卵场所，使学校生活区域的叮咬暴露风险增大。</t>
  </si>
  <si>
    <t>组织重点区域联合排查，落实清积水、防蚊及必要的成蚊控制</t>
  </si>
  <si>
    <t>文件1：P045</t>
  </si>
  <si>
    <t>重点场所管理</t>
  </si>
  <si>
    <t>M046</t>
  </si>
  <si>
    <t>建筑工地管件、脚手架及建材凹槽存在积水</t>
  </si>
  <si>
    <t>检查施工管材、脚手架及废旧建材孔洞，排水、倒置、封堵或遮盖，落实雨后巡查。</t>
  </si>
  <si>
    <t>文件1：P046；文件2：B06</t>
  </si>
  <si>
    <t>M047</t>
  </si>
  <si>
    <t>建筑工地废弃材料露天、无序堆放，易遗漏积水点</t>
  </si>
  <si>
    <t>分类堆放和清运废弃建材，减少凹槽积水和遮挡点，保持巡查通道畅通并定期复查。</t>
  </si>
  <si>
    <t>文件1：P047；文件2：B08</t>
  </si>
  <si>
    <t>M048</t>
  </si>
  <si>
    <t>建筑工地生活区或集体宿舍防蚊设施不完善</t>
  </si>
  <si>
    <t>完善纱门纱窗、蚊帐等设施，开展宿舍内外积水排查</t>
  </si>
  <si>
    <t>文件1：P048；文件2：B09</t>
  </si>
  <si>
    <t>M049</t>
  </si>
  <si>
    <t>公园假山、雕塑或盆景凹槽存在积水</t>
  </si>
  <si>
    <t>清空积水、改造易积水凹槽，定期检查景观设施</t>
  </si>
  <si>
    <t>文件1：P049</t>
  </si>
  <si>
    <t>M050</t>
  </si>
  <si>
    <t>花卉市场水培瓶、储水器皿及盆栽托盘积水或养护不到位</t>
  </si>
  <si>
    <t>落实花卉市场经营者责任，定期换水、刷洗容器和根部，及时清理托盘积水并规范储水器具。</t>
  </si>
  <si>
    <t>文件1：P050；文件2：D09</t>
  </si>
  <si>
    <t>M051</t>
  </si>
  <si>
    <t>农贸市场摊位及垃圾收集点存在积水杂物</t>
  </si>
  <si>
    <t>清理积水容器和垃圾，疏通排水，并落实市场管理方日常巡查</t>
  </si>
  <si>
    <t>文件1：P051</t>
  </si>
  <si>
    <t>M052</t>
  </si>
  <si>
    <t>养老机构公共活动区或宿舍防蚊不足</t>
  </si>
  <si>
    <t>补齐纱窗、蚊帐等防蚊措施，结合人员特点加强蚊虫叮咬防护</t>
  </si>
  <si>
    <t>文件1：P052</t>
  </si>
  <si>
    <t>M053</t>
  </si>
  <si>
    <t>宾馆酒店庭院、花园或客房周边存在积水</t>
  </si>
  <si>
    <t>组织酒店客房、绿化和物业人员巡查庭院、花园、客房阳台等重点位置，及时清除积水。</t>
  </si>
  <si>
    <t>文件1：P053；文件2：D08</t>
  </si>
  <si>
    <t>M054</t>
  </si>
  <si>
    <t>口岸、车站或物流园区防蚊设施缺失、破损或不足</t>
  </si>
  <si>
    <t>检修或补齐防蚊设施，结合场所风险做好媒介监测、预防性控制和部门信息共享。</t>
  </si>
  <si>
    <t>文件1：P054；文件2：D12</t>
  </si>
  <si>
    <t>M055</t>
  </si>
  <si>
    <t>旅游景区绿地、垃圾桶、雨棚等区域积水，容器垃圾清运不及时</t>
  </si>
  <si>
    <t>加强景区环境保洁，及时清除绿地、雨棚及垃圾收集设施周围积水和容器垃圾，并开展游客防蚊提示。</t>
  </si>
  <si>
    <t>文件1：P055；文件2：D11</t>
  </si>
  <si>
    <t>M056</t>
  </si>
  <si>
    <t>住宅、宿舍纱门或纱窗缺失、破损</t>
  </si>
  <si>
    <t>修补并规范关闭纱门纱窗，在重点位置配合使用蚊帐</t>
  </si>
  <si>
    <t>文件1：P056；文件2：A11</t>
  </si>
  <si>
    <t>防蚊及成蚊控制；A 居民住宅和宿舍</t>
  </si>
  <si>
    <t>M057</t>
  </si>
  <si>
    <t>病例居室未使用蚊帐等有效防蚊隔离设施</t>
  </si>
  <si>
    <t>病例防蚊隔离、应急灭蚊、复测或终止判定不当，可能使必要的传播阻断措施未及时落实，增加持续或本地传播风险。</t>
  </si>
  <si>
    <t>H09</t>
  </si>
  <si>
    <t>病例防蚊与应急处置失当</t>
  </si>
  <si>
    <t>立即落实防蚊隔离，使用蚊帐、纱窗及合规驱蚊措施，配合医疗机构指导</t>
  </si>
  <si>
    <t>医疗机构/疾控机构</t>
  </si>
  <si>
    <t>文件1：P057；文件2：E08</t>
  </si>
  <si>
    <t>防蚊及成蚊控制；E 病例发现报告和管理</t>
  </si>
  <si>
    <t>M058</t>
  </si>
  <si>
    <t>灭蚊防制与作业安全</t>
  </si>
  <si>
    <t>工作场所有较多成蚊，仍未开展针对性控制</t>
  </si>
  <si>
    <t>结合调查及成蚊密度监测，组织合规专业灭蚊并同步清理孳生地</t>
  </si>
  <si>
    <t>文件1：P058</t>
  </si>
  <si>
    <t>防蚊及成蚊控制</t>
  </si>
  <si>
    <t>M059</t>
  </si>
  <si>
    <t>外勤或园林作业人员防叮咬防护不足</t>
  </si>
  <si>
    <t>加强长袖衣裤及按说明使用驱蚊剂的指导，重点提示伊蚊活跃时段</t>
  </si>
  <si>
    <t>文件1：P059</t>
  </si>
  <si>
    <t>M060</t>
  </si>
  <si>
    <t>只依赖喷药杀灭成蚊，未同步清理孳生地或采取综合防制</t>
  </si>
  <si>
    <t>环境治理、施药时机或抗药性管理不到位，可能使灭蚊措施效果下降、蚊媒密度控制不佳或再次升高。</t>
  </si>
  <si>
    <t>H04</t>
  </si>
  <si>
    <t>蚊媒控制效果不足或反弹</t>
  </si>
  <si>
    <t>坚持环境治理为基础，清除积水孳生地，结合监测同步实施适宜的成蚊控制、物理防护和必要的灭幼措施。</t>
  </si>
  <si>
    <t>专业防制服务单位/场所管理单位</t>
  </si>
  <si>
    <t>https://www.who.int/activities/promoting-dengue-vector-surveillance-and-control
https://www.ndcpa.gov.cn/jbkzzx/c100014/2042601950245457920/cHUWFaSu.pdf
https://www.who.int/en/news-room/fact-sheets/detail/chikungunya</t>
  </si>
  <si>
    <t>文件1：P060；文件2：H01,H12</t>
  </si>
  <si>
    <t>防蚊及成蚊控制；H 消杀控制和效果</t>
  </si>
  <si>
    <t>M061</t>
  </si>
  <si>
    <t>使用的卫生杀虫剂来源不明或无法核实产品资质</t>
  </si>
  <si>
    <t>卫生杀虫剂使用不规范，可能导致人员或非靶标生物不必要的药剂暴露，严重时还可能影响饮用水安全或环境安全。</t>
  </si>
  <si>
    <t>H05</t>
  </si>
  <si>
    <t>不规范用药及环境健康风险</t>
  </si>
  <si>
    <t>核验产品合规资质，选用依法登记且适用场景匹配的卫生杀虫剂</t>
  </si>
  <si>
    <t>https://www.ndcpa.gov.cn/jbkzzx/c100014/2042601950245457920/cHUWFaSu.pdf
https://www.who.int/en/news-room/fact-sheets/detail/chikungunya</t>
  </si>
  <si>
    <t>文件1：P061；文件2：H04</t>
  </si>
  <si>
    <t>M062</t>
  </si>
  <si>
    <t>成蚊消杀未考虑伊蚊活动高峰及现场天气条件</t>
  </si>
  <si>
    <t>根据监测情况和天气选择作业时段，按技术方案和产品标签规范实施</t>
  </si>
  <si>
    <t>文件1：P062；文件2：H05</t>
  </si>
  <si>
    <t>M063</t>
  </si>
  <si>
    <t>难以排除的非饮用积水未采取有效幼蚊控制</t>
  </si>
  <si>
    <t>不能排除的非饮用水若缺乏有效灭幼措施，可能持续提供伊蚊幼虫发育条件，增加局部蚊媒密度。</t>
  </si>
  <si>
    <t>由专业人员评估后采用适宜缓释灭幼剂等措施，按产品标签使用并复核效果</t>
  </si>
  <si>
    <t>文件1：P063；文件2：H03</t>
  </si>
  <si>
    <t>M064</t>
  </si>
  <si>
    <t>未经评估在饮用水容器中投放普通灭幼蚊药剂</t>
  </si>
  <si>
    <t>不适用于饮用水的药剂进入储水容器，可能污染生活饮用水并产生健康安全风险，也可能不符合产品合法适用范围。</t>
  </si>
  <si>
    <t>停止不符合饮用水安全要求的用药，优先密闭加盖并由专业人员评估合规措施</t>
  </si>
  <si>
    <t>https://www.cdc.gov/mosquitoes/mosquito-control/larvicides.html
https://www.ndcpa.gov.cn/jbkzzx/c100014/2042601950245457920/cHUWFaSu.pdf
https://www.who.int/en/news-room/fact-sheets/detail/chikungunya</t>
  </si>
  <si>
    <t>文件1：P064；文件2：H13</t>
  </si>
  <si>
    <t>M065</t>
  </si>
  <si>
    <t>蚊媒监测与质量控制</t>
  </si>
  <si>
    <t>常规蚊媒监测未覆盖重点场所或季节</t>
  </si>
  <si>
    <t>监测布局、频次、记录或效果评价不足，可能造成蚊媒状况评估不准确，导致风险研判、措施调整或效果核实不及时。</t>
  </si>
  <si>
    <t>H06</t>
  </si>
  <si>
    <t>监测盲区、数据失真及研判延误</t>
  </si>
  <si>
    <t>结合辖区风险、气候、人口及历史疫情，优化代表性监测点布局</t>
  </si>
  <si>
    <t>疾控机构/技术服务单位</t>
  </si>
  <si>
    <t>文件1：P065；文件2：G02</t>
  </si>
  <si>
    <t>蚊媒监测及质量；G 蚊媒监测和评价</t>
  </si>
  <si>
    <t>M066</t>
  </si>
  <si>
    <t>仅开展幼蚊监测，未按要求开展成蚊监测</t>
  </si>
  <si>
    <t>根据国家方案同步采用布雷图指数法和双层叠帐法，完善监测记录</t>
  </si>
  <si>
    <t>文件1：P066；文件2：G03</t>
  </si>
  <si>
    <t>M067</t>
  </si>
  <si>
    <t>疫情核心区未按要求开展应急蚊媒监测</t>
  </si>
  <si>
    <t>按疫情阶段实施核心区每日监测，达到安全水平后每周2次直至结束</t>
  </si>
  <si>
    <t>文件1：P067；文件2：G06</t>
  </si>
  <si>
    <t>M068</t>
  </si>
  <si>
    <t>警戒区、监控区监测频次不足</t>
  </si>
  <si>
    <t>按国家方案对警戒区每周1次、监控区每两周1次开展监测</t>
  </si>
  <si>
    <t>文件1：P068；文件2：G07</t>
  </si>
  <si>
    <t>M069</t>
  </si>
  <si>
    <t>BI或成蚊密度指标超出控制阈值后未调整措施</t>
  </si>
  <si>
    <t>结合密度结果及风险评估加密清积水、成蚊控制和复测，并记录变化</t>
  </si>
  <si>
    <t>文件1：P069；文件2：G05</t>
  </si>
  <si>
    <t>M070</t>
  </si>
  <si>
    <t>蚊媒监测原始记录缺漏，孳生容器阳性信息不完整</t>
  </si>
  <si>
    <t>规范记录调查户数、阳性容器、点位、时间、方法及核查信息</t>
  </si>
  <si>
    <t>文件1：P070；文件2：G08</t>
  </si>
  <si>
    <t>M071</t>
  </si>
  <si>
    <t>消杀后未开展灭蚊效果评价</t>
  </si>
  <si>
    <t>依据规范实施适宜的药效与蚊媒密度复测，用结果指导后续作业</t>
  </si>
  <si>
    <t>文件1：P071；文件2：H10</t>
  </si>
  <si>
    <t>蚊媒监测及质量；H 消杀控制和效果</t>
  </si>
  <si>
    <t>M072</t>
  </si>
  <si>
    <t>长期使用同一类药剂而未关注抗药性</t>
  </si>
  <si>
    <t>按辖区风险和国家要求开展抗药性监测，依据结果调整药剂策略</t>
  </si>
  <si>
    <t>持续落实</t>
  </si>
  <si>
    <t>文件1：P072；文件2：G10</t>
  </si>
  <si>
    <t>M073</t>
  </si>
  <si>
    <t>把BI和成蚊密度混为同一指标，风险解释不准确</t>
  </si>
  <si>
    <t>分别报告幼蚊BI和双层叠帐法成蚊密度，明确单位、阈值和判定口径</t>
  </si>
  <si>
    <t>疾控机构／有关监测责任单位</t>
  </si>
  <si>
    <t>核查监测原始记录、指标计算和复核数据</t>
  </si>
  <si>
    <t>文件1：P073</t>
  </si>
  <si>
    <t>蚊媒监测及质量</t>
  </si>
  <si>
    <t>M074</t>
  </si>
  <si>
    <t>流调及疫情区域处置</t>
  </si>
  <si>
    <t>病例住所、工作地点、就诊或其他活动轨迹调查不完整</t>
  </si>
  <si>
    <t>流调线索、关联活动地点或共同暴露人群查找不完整，可能遗漏需要监测和处置的区域与人群，影响传播风险控制。</t>
  </si>
  <si>
    <t>H08</t>
  </si>
  <si>
    <t>疫情关联人群及风险区域遗漏</t>
  </si>
  <si>
    <t>补充核实病例住所、工作、就诊及传染期主要活动地点和相应时间，重点检查是否遗漏异地或集体场所。</t>
  </si>
  <si>
    <t>疾控机构/医疗机构/属地联防联控</t>
  </si>
  <si>
    <t>文件1：P074；文件2：F01,F02</t>
  </si>
  <si>
    <t>病例及疫情处置；F 流调和风险区域</t>
  </si>
  <si>
    <t>M075</t>
  </si>
  <si>
    <t>病例存在多个活动地点但只划定一个核心区</t>
  </si>
  <si>
    <t>基于流调与空间风险对相关活动点逐一评估，按要求划定多个核心区</t>
  </si>
  <si>
    <t>属地疾控机构／相关部门（按职责）</t>
  </si>
  <si>
    <t>核查流调资料、相关活动场所及风险区域划定</t>
  </si>
  <si>
    <t>文件1：P075</t>
  </si>
  <si>
    <t>病例及疫情处置</t>
  </si>
  <si>
    <t>M076</t>
  </si>
  <si>
    <t>核心区、警戒区及监控区划定不合理或有所遗漏</t>
  </si>
  <si>
    <t>依据现行方案、病例活动轨迹和周边地理环境，评估并动态调整核心区、警戒区与监控区，防止遗漏。</t>
  </si>
  <si>
    <t>文件1：P076；文件2：F04,F05</t>
  </si>
  <si>
    <t>M077</t>
  </si>
  <si>
    <t>确诊病例周围未开展及时的清积水、成蚊控制</t>
  </si>
  <si>
    <t>根据疫情类别和风险分区，及时组织核心区清孳生地及成蚊应急控制</t>
  </si>
  <si>
    <t>文件1：P077；文件2：H02</t>
  </si>
  <si>
    <t>病例及疫情处置；H 消杀控制和效果</t>
  </si>
  <si>
    <t>M078</t>
  </si>
  <si>
    <t>共同暴露人员或相关活动地点的排查不完整</t>
  </si>
  <si>
    <t>核查共同工作、居住或旅行等相关暴露人员及关联地点，开展必要的健康监测、病例搜索及防蚊指导。</t>
  </si>
  <si>
    <t>文件1：P078；文件2：F03</t>
  </si>
  <si>
    <t>M079</t>
  </si>
  <si>
    <t>病例诊断、报告与管理</t>
  </si>
  <si>
    <t>疑似病例未按规定报告或报告信息不完整</t>
  </si>
  <si>
    <t>病例或突发事件信息上报不及时、不完整，可能延误核查研判和启动防控响应，错过及时控制的窗口。</t>
  </si>
  <si>
    <t>H07</t>
  </si>
  <si>
    <t>病例发现、报告及诊断延误</t>
  </si>
  <si>
    <t>医疗机构依法于24小时内网络直报，并及时核查、补充和订正病例信息</t>
  </si>
  <si>
    <t>文件1：P079；文件2：E05</t>
  </si>
  <si>
    <t>病例及疫情处置；E 病例发现报告和管理</t>
  </si>
  <si>
    <t>M080</t>
  </si>
  <si>
    <t>符合突发公共卫生事件条件而未按时报告</t>
  </si>
  <si>
    <t>按2026版疫情分类核实条件，由法定责任机构在规定时限内完成报告</t>
  </si>
  <si>
    <t>文件1：P080；文件2：F10</t>
  </si>
  <si>
    <t>M081</t>
  </si>
  <si>
    <t>医疗机构病房或诊疗区域未对病例落实有效防蚊隔离</t>
  </si>
  <si>
    <t>在病例诊疗、住院等相关区域落实蚊帐、纱网等有效防蚊隔离措施，同时治理院内外孳生地。</t>
  </si>
  <si>
    <t>学校/医疗机构/养老院/经营管理单位；医疗机构/疾控机构</t>
  </si>
  <si>
    <t>文件1：P081；文件2：D06,E07</t>
  </si>
  <si>
    <t>病例及疫情处置；D 学校医疗养老公共场所；E 病例发现报告和管理</t>
  </si>
  <si>
    <t>M082</t>
  </si>
  <si>
    <t>未执行应急核心区蚊媒控制及复测时限</t>
  </si>
  <si>
    <t>按对应疫情类别落实成蚊控制、BI控制目标与复测，记录实施日期</t>
  </si>
  <si>
    <t>核查防蚊隔离、应急防制和现场效果评价记录</t>
  </si>
  <si>
    <t>文件1：P082</t>
  </si>
  <si>
    <t>M083</t>
  </si>
  <si>
    <t>病例解除防蚊隔离时未核对疾病特定条件</t>
  </si>
  <si>
    <t>按登革热或基孔肯雅热各自解除隔离标准分别核查，不统一套用单一病程天数</t>
  </si>
  <si>
    <t>文件1：P083；文件2：E10</t>
  </si>
  <si>
    <t>M084</t>
  </si>
  <si>
    <t>尚未达到疫情终止条件即停止应急监测和防制</t>
  </si>
  <si>
    <t>依据连续无新发病例天数、BI及成蚊密度等条件综合核查后再终止</t>
  </si>
  <si>
    <t>文件1：P084；文件2：F11</t>
  </si>
  <si>
    <t>M085</t>
  </si>
  <si>
    <t>组织管理与健康宣教</t>
  </si>
  <si>
    <t>场所未明确防蚊灭蚊责任人员或巡查制度</t>
  </si>
  <si>
    <t>责任分工不清、风险台账缺失或整改未复核，可能使风险隐患长期无人处理或反复出现，影响措施持续落实。</t>
  </si>
  <si>
    <t>H10</t>
  </si>
  <si>
    <t>组织责任不清及整改无法闭环</t>
  </si>
  <si>
    <t>明确责任人员及责任区域，建立清积水、防蚊灭蚊、日常巡查与复核机制。</t>
  </si>
  <si>
    <t>属地相关部门/场所责任单位</t>
  </si>
  <si>
    <t>文件1：P085；文件2：I01</t>
  </si>
  <si>
    <t>组织管理与宣传；I 组织协作与宣教闭环</t>
  </si>
  <si>
    <t>M086</t>
  </si>
  <si>
    <t>问题整改后缺乏复查、记录或闭环销号</t>
  </si>
  <si>
    <t>建立问题整改台账，保存处理时间、措施、责任人、整改前后照片和复查结果，落实销号管理。</t>
  </si>
  <si>
    <t>文件1：P086；文件2：I04</t>
  </si>
  <si>
    <t>M087</t>
  </si>
  <si>
    <t>暴雨、台风或降雨后未及时排查重点场所积水</t>
  </si>
  <si>
    <t>制定暴雨、台风及降雨后专项巡查制度，重点排查天台、工地、绿化带、排水系统和新增积水。</t>
  </si>
  <si>
    <t>文件1：P087；文件2：I12</t>
  </si>
  <si>
    <t>M088</t>
  </si>
  <si>
    <t>住户、租户等人员不了解清积水、水培植物换洗或蚊媒传播知识</t>
  </si>
  <si>
    <t>居民或重点场所人员可能未能落实清积水和防叮咬措施，对可疑症状识别不足时还可能延迟主动就诊和风险发现。</t>
  </si>
  <si>
    <t>H11</t>
  </si>
  <si>
    <t>防控认知不足及公众配合下降</t>
  </si>
  <si>
    <t>针对住户及租户开展清积水、定期换水刷洗、防蚊叮咬及症状识别宣教，结合实物示范。</t>
  </si>
  <si>
    <t>文件1：P088；文件2：I07</t>
  </si>
  <si>
    <t>M089</t>
  </si>
  <si>
    <t>重点场所未张贴防蚊和主动就诊提示</t>
  </si>
  <si>
    <t>缺少防蚊、症状识别和就医提示，可能使人员忽略防叮咬措施或在出现可疑症状后延误就医。</t>
  </si>
  <si>
    <t>在合适位置设置通俗易懂的防蚊、症状识别和就医提示</t>
  </si>
  <si>
    <t>核查培训宣教、风险告知及相关人员反馈</t>
  </si>
  <si>
    <t>文件1：P089</t>
  </si>
  <si>
    <t>组织管理与宣传</t>
  </si>
  <si>
    <t>M090</t>
  </si>
  <si>
    <t>厂区宿舍或跨部门区域治理责任不清，存在管理空白</t>
  </si>
  <si>
    <t>明确物业、宿舍管理、保洁和属地部门职责边界，对厂区宿舍及周边区域组织联合排查与复核。</t>
  </si>
  <si>
    <t>文件1：P090；文件2：I05</t>
  </si>
  <si>
    <t>M091</t>
  </si>
  <si>
    <t>未建立孳生地检查台账及空置房、闲置容器等重点风险点清单</t>
  </si>
  <si>
    <t>建立孳生地及重点风险点动态台账，记录位置、容器类型、责任人、检查频次、处置及复查情况。</t>
  </si>
  <si>
    <t>文件1：P091；文件2：I02</t>
  </si>
  <si>
    <t>M092</t>
  </si>
  <si>
    <t>消杀单位作业记录缺少时间、药剂、剂量或效果评价信息</t>
  </si>
  <si>
    <t>要求作业单位完整记录作业时间、地点、药剂资质、用量、操作人员及效果评价，保存可追溯资料。</t>
  </si>
  <si>
    <t>文件1：P092；文件2：H09</t>
  </si>
  <si>
    <t>组织管理与宣传；H 消杀控制和效果</t>
  </si>
  <si>
    <t>M093</t>
  </si>
  <si>
    <t>只关注有病人的楼栋，忽视周边单位和公共区域</t>
  </si>
  <si>
    <t>结合疫情风险分区扩展排查，推动物业、社区及相关单位协同防控</t>
  </si>
  <si>
    <t>文件1：P093</t>
  </si>
  <si>
    <t>M094</t>
  </si>
  <si>
    <t>宿舍杂物堆积、墙角阴暗潮湿</t>
  </si>
  <si>
    <t>阴暗、杂乱或植被密集环境可能增加成蚊栖息与隐蔽场所，使人蚊接触机会增加。</t>
  </si>
  <si>
    <t>清理堆积杂物、改善通风，减少成蚊隐蔽栖息处</t>
  </si>
  <si>
    <t>结合现场研判</t>
  </si>
  <si>
    <t>文件2：A08</t>
  </si>
  <si>
    <t>A 居民住宅和宿舍</t>
  </si>
  <si>
    <t>文件2独有问题，已补充进入并集</t>
  </si>
  <si>
    <t>M095</t>
  </si>
  <si>
    <t>空置房间内水箱、花瓶、桶仍存水</t>
  </si>
  <si>
    <t>积水或盛水容器如具备适宜条件，可能成为伊蚊产卵和幼虫孳生场所，增加局部媒介密度及蚊媒传播风险。</t>
  </si>
  <si>
    <t>排查空置房间，清除闲置水体并对必要容器防蚊封盖</t>
  </si>
  <si>
    <t>文件2：A10</t>
  </si>
  <si>
    <t>M096</t>
  </si>
  <si>
    <t>白天休息人员无个人防蚊措施</t>
  </si>
  <si>
    <t>纱网、蚊帐或其他防蚊措施不足，可能增加人员被媒介伊蚊叮咬的机会；若存在传染源则增加传播可能。</t>
  </si>
  <si>
    <t>加强驱蚊指导，白天睡眠人员可使用蚊帐</t>
  </si>
  <si>
    <t>文件2：A12</t>
  </si>
  <si>
    <t>M097</t>
  </si>
  <si>
    <t>阳台、屋檐、雨棚凹陷存水</t>
  </si>
  <si>
    <t>清除积水、修复积水结构，雨后重点复查</t>
  </si>
  <si>
    <t>文件2：A13</t>
  </si>
  <si>
    <t>M098</t>
  </si>
  <si>
    <t>宿舍管理人不了解防蚊方法</t>
  </si>
  <si>
    <t>相关人员对传播机制、个人防护或环境清理认识不足，可能影响防蚊、健康监测及排查措施的有效落实。</t>
  </si>
  <si>
    <t>对管理人员开展清积水、防叮咬及现场检查培训</t>
  </si>
  <si>
    <t>文件2：A15</t>
  </si>
  <si>
    <t>M099</t>
  </si>
  <si>
    <t>厂区角落垃圾堆积形成卫生死角</t>
  </si>
  <si>
    <t>集中清理卫生死角并建立复查制度</t>
  </si>
  <si>
    <t>文件2：B03</t>
  </si>
  <si>
    <t>B 工厂和建筑工地</t>
  </si>
  <si>
    <t>M100</t>
  </si>
  <si>
    <t>生产区与宿舍区防蚊工作分离</t>
  </si>
  <si>
    <t>厂区与宿舍区管理割裂，可能造成交界区域漏管及灭蚊治理不连续，影响整体防控效果。</t>
  </si>
  <si>
    <t>将厂区、宿舍及外围一并纳入统一巡查与治理</t>
  </si>
  <si>
    <t>文件2：B11</t>
  </si>
  <si>
    <t>M101</t>
  </si>
  <si>
    <t>人员流动频繁但无症状提示</t>
  </si>
  <si>
    <t>人员缺少发热、关节痛等症状识别与就诊提示，可能延误病例发现及风险应对。</t>
  </si>
  <si>
    <t>向员工普及发热、关节痛、皮疹等症状及旅居史告知要求</t>
  </si>
  <si>
    <t>文件2：B12</t>
  </si>
  <si>
    <t>M102</t>
  </si>
  <si>
    <t>背街小巷卫生死角较多</t>
  </si>
  <si>
    <t>定向整治并建立巡查复查机制</t>
  </si>
  <si>
    <t>文件2：C02</t>
  </si>
  <si>
    <t>C 村居社区公共环境</t>
  </si>
  <si>
    <t>M103</t>
  </si>
  <si>
    <t>雨水井或沟渠局部积水</t>
  </si>
  <si>
    <t>排查积水成因，疏通排水；必要时专业评估灭幼蚊</t>
  </si>
  <si>
    <t>文件2：C04</t>
  </si>
  <si>
    <t>M104</t>
  </si>
  <si>
    <t>菜地使用废桶泡沫箱蓄水</t>
  </si>
  <si>
    <t>清除闲置蓄水容器，必要储水设施严密加盖</t>
  </si>
  <si>
    <t>文件2：C06</t>
  </si>
  <si>
    <t>M105</t>
  </si>
  <si>
    <t>无人居住房屋无法入户</t>
  </si>
  <si>
    <t>无法入户使房内积水及蚊媒情况无法核实，可能形成未评估的传播风险点。</t>
  </si>
  <si>
    <t>建立未入户台账并协调产权人依法开展补充检查</t>
  </si>
  <si>
    <t>文件2：C12</t>
  </si>
  <si>
    <t>M106</t>
  </si>
  <si>
    <t>居民认为无孑孓便无风险</t>
  </si>
  <si>
    <t>说明潜在孳生地也需清理，不能只凭一次观察判断</t>
  </si>
  <si>
    <t>文件2：C13</t>
  </si>
  <si>
    <t>M107</t>
  </si>
  <si>
    <t>治理后积水反复出现</t>
  </si>
  <si>
    <t>防控责任、排查、部门协作或整改复核脱节，可能导致隐患未及时解决、治理存在空白或问题反复。</t>
  </si>
  <si>
    <t>建立雨后复查及重点点位维护制度</t>
  </si>
  <si>
    <t>文件2：C14</t>
  </si>
  <si>
    <t>M108</t>
  </si>
  <si>
    <t>学校晨午检、病假追踪薄弱</t>
  </si>
  <si>
    <t>学校未有效发现和追踪相关症状，可能延误疑似病例识别与聚集性风险提示。</t>
  </si>
  <si>
    <t>完善晨午检和因病缺课追踪，发现相关症状及时就医</t>
  </si>
  <si>
    <t>文件2：D03</t>
  </si>
  <si>
    <t>D 学校医疗养老公共场所</t>
  </si>
  <si>
    <t>M109</t>
  </si>
  <si>
    <t>托幼机构防蚊纱网不足</t>
  </si>
  <si>
    <t>完善纱窗蚊帐，尤其保护午睡儿童</t>
  </si>
  <si>
    <t>文件2：D04</t>
  </si>
  <si>
    <t>M110</t>
  </si>
  <si>
    <t>养老机构庭院花盆和绿化带积水</t>
  </si>
  <si>
    <t>定期检查庭院、活动区和房间周边积水</t>
  </si>
  <si>
    <t>文件2：D05</t>
  </si>
  <si>
    <t>M111</t>
  </si>
  <si>
    <t>医疗机构及周边存在孳生地</t>
  </si>
  <si>
    <t>院内外同步清积水并按风险开展成蚊控制</t>
  </si>
  <si>
    <t>文件2：D07</t>
  </si>
  <si>
    <t>M112</t>
  </si>
  <si>
    <t>医务人员识别基孔肯雅热能力不足</t>
  </si>
  <si>
    <t>疑似病例识别、检测、报告或主动搜索可能延误，使传播风险难以及时发现并采取针对性防控措施。</t>
  </si>
  <si>
    <t>培训发热、关节痛、皮疹病例识别和鉴别诊断</t>
  </si>
  <si>
    <t>基孔肯雅热（重点）</t>
  </si>
  <si>
    <t>文件2：E01</t>
  </si>
  <si>
    <t>E 病例发现报告和管理</t>
  </si>
  <si>
    <t>M113</t>
  </si>
  <si>
    <t>疑似病例未调查旅居史</t>
  </si>
  <si>
    <t>若遗漏相关流行地区旅居史，可能延误疑似病例识别、检测及后续防控。</t>
  </si>
  <si>
    <t>重点核查基孔肯雅热发病前12天旅居和暴露史</t>
  </si>
  <si>
    <t>文件2：E02</t>
  </si>
  <si>
    <t>M114</t>
  </si>
  <si>
    <t>只测登革热而不测基孔肯雅热</t>
  </si>
  <si>
    <t>未结合疫情风险开展基孔肯雅热检测，可能造成漏诊及传播风险识别延误。</t>
  </si>
  <si>
    <t>按当地疫情风险安排两热同检以减少漏诊</t>
  </si>
  <si>
    <t>文件2：E03</t>
  </si>
  <si>
    <t>M115</t>
  </si>
  <si>
    <t>疑似病例未及时采样送检</t>
  </si>
  <si>
    <t>规范采样送检，优先采集适合病原学检测的急性期样本</t>
  </si>
  <si>
    <t>文件2：E04</t>
  </si>
  <si>
    <t>M116</t>
  </si>
  <si>
    <t>病例诊断或感染来源分类有误</t>
  </si>
  <si>
    <t>病例分类或感染来源信息错误，可能干扰病例统计、疫情趋势研判和防控决策。</t>
  </si>
  <si>
    <t>结合实验室结果和流调资料及时核实订正</t>
  </si>
  <si>
    <t>文件2：E06</t>
  </si>
  <si>
    <t>M117</t>
  </si>
  <si>
    <t>病例传染性期间仍频繁流动</t>
  </si>
  <si>
    <t>具有传染性的病例若未落实防蚊隔离或合理限制活动，可能被伊蚊叮咬并增加人—蚊—人的续发传播机会。</t>
  </si>
  <si>
    <t>加强防蚊隔离及减少外出、跨区域流动的健康提示</t>
  </si>
  <si>
    <t>文件2：E09</t>
  </si>
  <si>
    <t>M118</t>
  </si>
  <si>
    <t>重症高风险人群健康关注不足</t>
  </si>
  <si>
    <t>未及时关注高风险患者的病情变化，可能延误重症识别、评估和转诊处置。</t>
  </si>
  <si>
    <t>H12</t>
  </si>
  <si>
    <t>高风险人群管理与症状随访不足</t>
  </si>
  <si>
    <t>提醒医疗机构重点评估新生儿老年人孕妇及基础病患者</t>
  </si>
  <si>
    <t>基孔肯雅热／登革热（按诊疗要求）</t>
  </si>
  <si>
    <t>文件2：E11</t>
  </si>
  <si>
    <t>M119</t>
  </si>
  <si>
    <t>病后长期关节疼痛未得到随访</t>
  </si>
  <si>
    <t>病后持续关节疼痛缺乏随访与就诊指导，可能影响症状管理、生活与工作能力。</t>
  </si>
  <si>
    <t>建议患者按医疗机构建议复诊，关注持续疼痛的功能影响</t>
  </si>
  <si>
    <t>文件2：E12</t>
  </si>
  <si>
    <t>M120</t>
  </si>
  <si>
    <t>相邻病例核心区之间留有空白</t>
  </si>
  <si>
    <t>相关活动场所、接触人群或传播风险区域可能漏查漏管，导致风险评估与防控措施覆盖不完整。</t>
  </si>
  <si>
    <t>在聚集性疫情中整合相邻核心区做到无遗漏</t>
  </si>
  <si>
    <t>文件2：F06</t>
  </si>
  <si>
    <t>F 流调和风险区域</t>
  </si>
  <si>
    <t>M121</t>
  </si>
  <si>
    <t>发现本地病例未同步主动搜索</t>
  </si>
  <si>
    <t>未开展主动病例搜索，可能漏发现病例，使传播链识别和控制滞后。</t>
  </si>
  <si>
    <t>指导涉疫地区医疗机构排查，必要时入户搜索</t>
  </si>
  <si>
    <t>文件2：F07</t>
  </si>
  <si>
    <t>M122</t>
  </si>
  <si>
    <t>未开展病例时空与监测数据关联</t>
  </si>
  <si>
    <t>未关联病例时空分布与媒介监测结果，可能造成疫情传播路径与重点区域研判不足。</t>
  </si>
  <si>
    <t>结合发病时间地点活动轨迹和蚊媒数据分析传播链</t>
  </si>
  <si>
    <t>文件2：F08</t>
  </si>
  <si>
    <t>M123</t>
  </si>
  <si>
    <t>跨区域活动风险信息未通报</t>
  </si>
  <si>
    <t>跨区域活动风险信息未通报，可能导致关联地区漏查相关活动场所和风险人群。</t>
  </si>
  <si>
    <t>向关联地区疾控及时通报并协同处置</t>
  </si>
  <si>
    <t>文件2：F09</t>
  </si>
  <si>
    <t>M124</t>
  </si>
  <si>
    <t>常规监测频次不足</t>
  </si>
  <si>
    <t>监测或病例分类信息可能不完整、不准确或缺乏可比性，造成蚊媒传播风险研判偏差，并影响处置与效果评价。</t>
  </si>
  <si>
    <t>广东Ⅰ类地区活动季原则上每月监测2次</t>
  </si>
  <si>
    <t>文件2：G01</t>
  </si>
  <si>
    <t>G 蚊媒监测和评价</t>
  </si>
  <si>
    <t>M125</t>
  </si>
  <si>
    <t>布雷图指数计算或台账错误</t>
  </si>
  <si>
    <t>BI计算或登记错误，可能导致媒介风险误判、控制效果评价失真。</t>
  </si>
  <si>
    <t>复核阳性容器数和调查户数，按规范计算BI</t>
  </si>
  <si>
    <t>文件2：G04</t>
  </si>
  <si>
    <t>M126</t>
  </si>
  <si>
    <t>样本少仍以零指数认定无风险</t>
  </si>
  <si>
    <t>因少量样本或局部零指数直接判断无风险，可能低估隐蔽孳生地和未覆盖点位的风险。</t>
  </si>
  <si>
    <t>补充代表性调查并结合环境和病例活动风险综合研判</t>
  </si>
  <si>
    <t>文件2：G09</t>
  </si>
  <si>
    <t>M127</t>
  </si>
  <si>
    <t>灭蚊前后监测缺可比性</t>
  </si>
  <si>
    <t>统一方法和点位，完整保存防制前后记录</t>
  </si>
  <si>
    <t>文件2：G11</t>
  </si>
  <si>
    <t>M128</t>
  </si>
  <si>
    <t>大风条件仍室外超低容量喷雾</t>
  </si>
  <si>
    <t>不适宜大风条件下开展室外喷雾，可能导致药液漂移、非目标暴露及灭蚊效果下降。</t>
  </si>
  <si>
    <t>风速超过4m/s时不宜开展室外超低容量喷雾</t>
  </si>
  <si>
    <t>文件2：H06</t>
  </si>
  <si>
    <t>H 消杀控制和效果</t>
  </si>
  <si>
    <t>M129</t>
  </si>
  <si>
    <t>灭蚊范围遗漏栖息点</t>
  </si>
  <si>
    <t>蚊媒控制的范围、方法或持续性不足，可能使成蚊密度控制不达标或出现反弹，延续传播风险。</t>
  </si>
  <si>
    <t>结合流调调查覆盖核心区适宜室内外栖息地</t>
  </si>
  <si>
    <t>文件2：H07</t>
  </si>
  <si>
    <t>M130</t>
  </si>
  <si>
    <t>施药人员不会正确配药和操作</t>
  </si>
  <si>
    <t>药剂配制或器械操作不规范，可能造成操作人员暴露、药剂过量或灭蚊效果不稳定。</t>
  </si>
  <si>
    <t>开展技术培训并落实操作与个人防护规范</t>
  </si>
  <si>
    <t>文件2：H08</t>
  </si>
  <si>
    <t>M131</t>
  </si>
  <si>
    <t>短期成蚊密度反弹</t>
  </si>
  <si>
    <t>核查遗漏孳生地周边蚊源及抗药性并优化措施</t>
  </si>
  <si>
    <t>文件2：H11</t>
  </si>
  <si>
    <t>M132</t>
  </si>
  <si>
    <t>消杀前未向居民作安全提示</t>
  </si>
  <si>
    <t>事先缺少必要告知，可能使周边人员未采取适当避让和防护措施，增加作业暴露风险。</t>
  </si>
  <si>
    <t>协调属地和作业单位提前开展必要告知</t>
  </si>
  <si>
    <t>文件2：H14</t>
  </si>
  <si>
    <t>M133</t>
  </si>
  <si>
    <t>督导问题未书面反馈</t>
  </si>
  <si>
    <t>向责任单位出具具体书面技术指导建议</t>
  </si>
  <si>
    <t>文件2：I03</t>
  </si>
  <si>
    <t>I 组织协作与宣教闭环</t>
  </si>
  <si>
    <t>M134</t>
  </si>
  <si>
    <t>基层人员不熟悉2026方案</t>
  </si>
  <si>
    <t>基层人员不掌握现行技术方案，可能发生防控范围、时限、监测或报告要求执行偏差。</t>
  </si>
  <si>
    <t>组织最新版方案专项培训统一技术口径</t>
  </si>
  <si>
    <t>文件2：I06</t>
  </si>
  <si>
    <t>M135</t>
  </si>
  <si>
    <t>误以为普通消毒能替代灭蚊</t>
  </si>
  <si>
    <t>解释表面消毒不能代替伊蚊控制</t>
  </si>
  <si>
    <t>文件2：I08</t>
  </si>
  <si>
    <t>M136</t>
  </si>
  <si>
    <t>群众不理解或不配合入户检查</t>
  </si>
  <si>
    <t>做好解释沟通及隐私保护，争取参与支持</t>
  </si>
  <si>
    <t>文件2：I09</t>
  </si>
  <si>
    <t>M137</t>
  </si>
  <si>
    <t>宣传内容缺少场所针对性</t>
  </si>
  <si>
    <t>分别制作家庭宿舍学校工地等场所提示</t>
  </si>
  <si>
    <t>文件2：I10</t>
  </si>
  <si>
    <t>M138</t>
  </si>
  <si>
    <t>仅疫情发生时才开展防蚊</t>
  </si>
  <si>
    <t>活动季常态化开展监测环境治理和宣传</t>
  </si>
  <si>
    <t>文件2：I11</t>
  </si>
  <si>
    <t>两份“问题—建议”数据库并集与去重汇总  |  V1</t>
  </si>
  <si>
    <t>来源：文件1“问题建议总库”（93条）及文件2“问题建议库”（113条）；按问题语义去重，保留全部原始记录追溯。</t>
  </si>
  <si>
    <t>原始记录总数</t>
  </si>
  <si>
    <t>文件1记录</t>
  </si>
  <si>
    <t>文件2记录</t>
  </si>
  <si>
    <t>第二表合并数</t>
  </si>
  <si>
    <t>第二表新增数</t>
  </si>
  <si>
    <t>合并后有效数</t>
  </si>
  <si>
    <t>分类编号</t>
  </si>
  <si>
    <t>主要不良后果类别</t>
  </si>
  <si>
    <t>问题数</t>
  </si>
  <si>
    <t>合计</t>
  </si>
  <si>
    <t>口径提示：主要不良后果类别系工作数据库的归并标签，并非国家法定疫情风险等级；真实现场风险需结合监测、流调和现行方案研判。</t>
  </si>
  <si>
    <t>示例：宠物/家禽饮水器具问题（文件1 P009、文件2 A14）已合并至 M009，并在“原始记录追溯”中保留两条原文。</t>
  </si>
  <si>
    <t>来源文件</t>
  </si>
  <si>
    <t>来源工作表</t>
  </si>
  <si>
    <t>原始编号</t>
  </si>
  <si>
    <t>原始问题（原文）</t>
  </si>
  <si>
    <t>原始不良后果（原文）</t>
  </si>
  <si>
    <t>原始建议（原文）</t>
  </si>
  <si>
    <t>合并后编号</t>
  </si>
  <si>
    <t>处理方式</t>
  </si>
  <si>
    <t>原始记录处理说明</t>
  </si>
  <si>
    <t>问题-建议 清单 V2.xlsx</t>
  </si>
  <si>
    <t>问题建议总库</t>
  </si>
  <si>
    <t>P001</t>
  </si>
  <si>
    <t>宿舍或住户内闲置水桶、脸盆等容器存有积水</t>
  </si>
  <si>
    <t>立即倒尽积水，刷洗内壁；不再使用的容器倒置或移除，防止重新积水</t>
  </si>
  <si>
    <t>保留并整合</t>
  </si>
  <si>
    <t>已吸收：A01</t>
  </si>
  <si>
    <t>P002</t>
  </si>
  <si>
    <t>生活用储水桶、储水缸未加盖或盖不严</t>
  </si>
  <si>
    <t>使用紧密贴合的盖子或防蚊网封闭，定期检查盖体完整性</t>
  </si>
  <si>
    <t>已吸收：A05</t>
  </si>
  <si>
    <t>P003</t>
  </si>
  <si>
    <t>原表一保留</t>
  </si>
  <si>
    <t>无重复项</t>
  </si>
  <si>
    <t>P004</t>
  </si>
  <si>
    <t>P005</t>
  </si>
  <si>
    <t>花盆托盘存在积水</t>
  </si>
  <si>
    <t>及时倒掉托盘积水，调整浇水方法，避免形成持续积水</t>
  </si>
  <si>
    <t>已吸收：A04,C08</t>
  </si>
  <si>
    <t>P006</t>
  </si>
  <si>
    <t>空调冷凝水接水盘或临时接水桶积水</t>
  </si>
  <si>
    <t>疏通冷凝水排放管路，清空接水容器并建立检查频次</t>
  </si>
  <si>
    <t>已吸收：A07</t>
  </si>
  <si>
    <t>P007</t>
  </si>
  <si>
    <t>P008</t>
  </si>
  <si>
    <t>已吸收：A06</t>
  </si>
  <si>
    <t>P009</t>
  </si>
  <si>
    <t>宠物或家禽饮水器具长期未换水</t>
  </si>
  <si>
    <t>定期更换饮水并刷洗器具，避免残留积水和蚊卵</t>
  </si>
  <si>
    <t>已吸收：A14</t>
  </si>
  <si>
    <t>P010</t>
  </si>
  <si>
    <t>P011</t>
  </si>
  <si>
    <t>P012</t>
  </si>
  <si>
    <t>P013</t>
  </si>
  <si>
    <t>P014</t>
  </si>
  <si>
    <t>房前屋后散落饮料瓶、易拉罐、塑料杯等易积水垃圾</t>
  </si>
  <si>
    <t>清理废弃容器并分类清运，建立日常保洁与雨后复查机制</t>
  </si>
  <si>
    <t>已吸收：C01</t>
  </si>
  <si>
    <t>P015</t>
  </si>
  <si>
    <t>已吸收：C07</t>
  </si>
  <si>
    <t>P016</t>
  </si>
  <si>
    <t>废旧轮胎露天存放且内部积水</t>
  </si>
  <si>
    <t>已吸收：B01</t>
  </si>
  <si>
    <t>P017</t>
  </si>
  <si>
    <t>已吸收：B04</t>
  </si>
  <si>
    <t>P018</t>
  </si>
  <si>
    <t>露天堆放闲置花盆、废旧桶罐和施工小容器</t>
  </si>
  <si>
    <t>统一清理并倒置摆放或移至室内，消除可积水凹槽</t>
  </si>
  <si>
    <t>已吸收：A02</t>
  </si>
  <si>
    <t>P019</t>
  </si>
  <si>
    <t>树洞、树杈凹陷存有积水</t>
  </si>
  <si>
    <t>清除积水，采用适当无害方式填平或防积水处理，并定期巡查</t>
  </si>
  <si>
    <t>已吸收：C05</t>
  </si>
  <si>
    <t>P020</t>
  </si>
  <si>
    <t>P021</t>
  </si>
  <si>
    <t>P022</t>
  </si>
  <si>
    <t>P023</t>
  </si>
  <si>
    <t>杂草过密、杂物堆积导致成蚊栖息环境突出</t>
  </si>
  <si>
    <t>清理卫生死角，规范堆物并适当修剪植被，降低成蚊栖息条件</t>
  </si>
  <si>
    <t>已吸收：B10,C10</t>
  </si>
  <si>
    <t>P024</t>
  </si>
  <si>
    <t>P025</t>
  </si>
  <si>
    <t>P026</t>
  </si>
  <si>
    <t>房前屋后排水沟落叶、淤泥堆积导致积水</t>
  </si>
  <si>
    <t>清淤疏堵，保持沟渠排水通畅，建立雨前雨后巡查制度</t>
  </si>
  <si>
    <t>已吸收：B07</t>
  </si>
  <si>
    <t>P027</t>
  </si>
  <si>
    <t>天台排水槽或檐沟堵塞并有积水</t>
  </si>
  <si>
    <t>清除淤泥落叶、检查排水坡度，必要时开展防蚊设施改造</t>
  </si>
  <si>
    <t>已吸收：C03</t>
  </si>
  <si>
    <t>P028</t>
  </si>
  <si>
    <t>已吸收：C11</t>
  </si>
  <si>
    <t>P029</t>
  </si>
  <si>
    <t>已吸收：B05</t>
  </si>
  <si>
    <t>P030</t>
  </si>
  <si>
    <t>已吸收：C09</t>
  </si>
  <si>
    <t>P031</t>
  </si>
  <si>
    <t>P032</t>
  </si>
  <si>
    <t>景观水池水体静止且缺乏蚊幼虫防制措施</t>
  </si>
  <si>
    <t>保持水体流动并定期清洁；不能排除的非饮用水在专业指导下采用适宜防幼措施</t>
  </si>
  <si>
    <t>已吸收：D10</t>
  </si>
  <si>
    <t>P033</t>
  </si>
  <si>
    <t>P034</t>
  </si>
  <si>
    <t>P035</t>
  </si>
  <si>
    <t>P036</t>
  </si>
  <si>
    <t>P037</t>
  </si>
  <si>
    <t>P038</t>
  </si>
  <si>
    <t>P039</t>
  </si>
  <si>
    <t>P040</t>
  </si>
  <si>
    <t>工厂宿舍集中种养水培植物，未落实换水刷洗</t>
  </si>
  <si>
    <t>组织对宿舍水养植物逐室排查，指导每周换水、洗瓶壁和根须</t>
  </si>
  <si>
    <t>已吸收：A03</t>
  </si>
  <si>
    <t>P041</t>
  </si>
  <si>
    <t>空置宿舍、闲置房间长期无人巡查，可能存在积水及成蚊</t>
  </si>
  <si>
    <t>建立空置房清单，协调管理人员定期入内检查、清积水与防蚊</t>
  </si>
  <si>
    <t>已吸收：A09</t>
  </si>
  <si>
    <t>P042</t>
  </si>
  <si>
    <t>已吸收：B02</t>
  </si>
  <si>
    <t>P043</t>
  </si>
  <si>
    <t>学校教室或办公区水生植物容器无人管理</t>
  </si>
  <si>
    <t>明确班级或科室负责人，按周期换水刷洗，必要时调整种植方式</t>
  </si>
  <si>
    <t>已吸收：D01</t>
  </si>
  <si>
    <t>P044</t>
  </si>
  <si>
    <t>幼儿园户外玩具、沙水设施或轮胎教具积水</t>
  </si>
  <si>
    <t>活动后排空、清洗并遮雨收纳，开展每日设施检查</t>
  </si>
  <si>
    <t>已吸收：D02</t>
  </si>
  <si>
    <t>P045</t>
  </si>
  <si>
    <t>P046</t>
  </si>
  <si>
    <t>建筑工地废弃管件、脚手架构件等存在积水</t>
  </si>
  <si>
    <t>清理闲置管件，封堵或倒置可积水空腔，落实雨后检查</t>
  </si>
  <si>
    <t>已吸收：B06</t>
  </si>
  <si>
    <t>P047</t>
  </si>
  <si>
    <t>建筑工地材料堆放混乱，积水点不易发现</t>
  </si>
  <si>
    <t>分类堆放并清理废弃建材，留出巡查通道，建立工地巡检清单</t>
  </si>
  <si>
    <t>已吸收：B08</t>
  </si>
  <si>
    <t>P048</t>
  </si>
  <si>
    <t>已吸收：B09</t>
  </si>
  <si>
    <t>P049</t>
  </si>
  <si>
    <t>P050</t>
  </si>
  <si>
    <t>花卉市场盆栽托盘、浇花器具积水普遍</t>
  </si>
  <si>
    <t>压实摊位清积水责任，统一规范托盘排水、容器倒置和水植养护</t>
  </si>
  <si>
    <t>已吸收：D09</t>
  </si>
  <si>
    <t>P051</t>
  </si>
  <si>
    <t>P052</t>
  </si>
  <si>
    <t>P053</t>
  </si>
  <si>
    <t>宾馆酒店庭院及客房阳台存有积水</t>
  </si>
  <si>
    <t>组织客房、物业与绿化人员排查清除积水，完善防蚊提示</t>
  </si>
  <si>
    <t>已吸收：D08</t>
  </si>
  <si>
    <t>P054</t>
  </si>
  <si>
    <t>口岸、交通枢纽候车区防蚊设施损坏</t>
  </si>
  <si>
    <t>检修纱窗与其他防蚊设施，规范落实预防性灭蚊</t>
  </si>
  <si>
    <t>已吸收：D12</t>
  </si>
  <si>
    <t>P055</t>
  </si>
  <si>
    <t>旅游景区垃圾清运不及时，游客活动区有积水容器</t>
  </si>
  <si>
    <t>提高保洁频次，重点清理瓶罐、食品包装和水体积水，增设防蚊提示</t>
  </si>
  <si>
    <t>已吸收：D11</t>
  </si>
  <si>
    <t>P056</t>
  </si>
  <si>
    <t>宿舍或住户纱窗、纱门破损或缺失</t>
  </si>
  <si>
    <t>已吸收：A11</t>
  </si>
  <si>
    <t>P057</t>
  </si>
  <si>
    <t>已吸收：E08</t>
  </si>
  <si>
    <t>P058</t>
  </si>
  <si>
    <t>P059</t>
  </si>
  <si>
    <t>P060</t>
  </si>
  <si>
    <t>只喷药灭蚊，未同步治理积水孳生地</t>
  </si>
  <si>
    <t>坚持环境治理优先，将清积水、灭幼蚊、控制成蚊结合实施</t>
  </si>
  <si>
    <t>已吸收：H01,H12</t>
  </si>
  <si>
    <t>P061</t>
  </si>
  <si>
    <t>已吸收：H04</t>
  </si>
  <si>
    <t>P062</t>
  </si>
  <si>
    <t>已吸收：H05</t>
  </si>
  <si>
    <t>P063</t>
  </si>
  <si>
    <t>已吸收：H03</t>
  </si>
  <si>
    <t>P064</t>
  </si>
  <si>
    <t>已吸收：H13</t>
  </si>
  <si>
    <t>P065</t>
  </si>
  <si>
    <t>已吸收：G02</t>
  </si>
  <si>
    <t>P066</t>
  </si>
  <si>
    <t>已吸收：G03</t>
  </si>
  <si>
    <t>P067</t>
  </si>
  <si>
    <t>已吸收：G06</t>
  </si>
  <si>
    <t>P068</t>
  </si>
  <si>
    <t>已吸收：G07</t>
  </si>
  <si>
    <t>P069</t>
  </si>
  <si>
    <t>已吸收：G05</t>
  </si>
  <si>
    <t>P070</t>
  </si>
  <si>
    <t>已吸收：G08</t>
  </si>
  <si>
    <t>P071</t>
  </si>
  <si>
    <t>已吸收：H10</t>
  </si>
  <si>
    <t>P072</t>
  </si>
  <si>
    <t>已吸收：G10</t>
  </si>
  <si>
    <t>P073</t>
  </si>
  <si>
    <t>P074</t>
  </si>
  <si>
    <t>病例发病前后活动轨迹调查不完整</t>
  </si>
  <si>
    <t>根据流调要求补充住所、工作地点和传染期长时间活动点，核对时间地点</t>
  </si>
  <si>
    <t>已吸收：F01,F02</t>
  </si>
  <si>
    <t>P075</t>
  </si>
  <si>
    <t>P076</t>
  </si>
  <si>
    <t>核心区、警戒区划定未结合最新流调和地理环境</t>
  </si>
  <si>
    <t>按2026版方案和实际传播风险动态调整范围，避免遗漏毗邻场所</t>
  </si>
  <si>
    <t>已吸收：F04,F05</t>
  </si>
  <si>
    <t>P077</t>
  </si>
  <si>
    <t>已吸收：H02</t>
  </si>
  <si>
    <t>P078</t>
  </si>
  <si>
    <t>共同暴露人员及相关接触区域健康排查不足</t>
  </si>
  <si>
    <t>按疾病防控方案开展共同暴露人群排查、健康监测和必要的病例搜索</t>
  </si>
  <si>
    <t>已吸收：F03</t>
  </si>
  <si>
    <t>P079</t>
  </si>
  <si>
    <t>已吸收：E05</t>
  </si>
  <si>
    <t>P080</t>
  </si>
  <si>
    <t>已吸收：F10</t>
  </si>
  <si>
    <t>P081</t>
  </si>
  <si>
    <t>医疗机构病房、值班室未落实防蚊措施</t>
  </si>
  <si>
    <t>完善蚊帐、纱门纱窗，落实院内及周边孳生地治理和成蚊杀灭</t>
  </si>
  <si>
    <t>已吸收：D06,E07</t>
  </si>
  <si>
    <t>P082</t>
  </si>
  <si>
    <t>P083</t>
  </si>
  <si>
    <t>已吸收：E10</t>
  </si>
  <si>
    <t>P084</t>
  </si>
  <si>
    <t>已吸收：F11</t>
  </si>
  <si>
    <t>P085</t>
  </si>
  <si>
    <t>场所没有明确防蚊灭蚊责任人及巡查制度</t>
  </si>
  <si>
    <t>明确单位、楼栋和重点点位责任人，制定巡查、清理及复核制度</t>
  </si>
  <si>
    <t>已吸收：I01</t>
  </si>
  <si>
    <t>P086</t>
  </si>
  <si>
    <t>问题点位整改后没有复查或闭环记录</t>
  </si>
  <si>
    <t>建立问题台账，记录地点、问题、整改措施、责任方、完成日期与复查结果</t>
  </si>
  <si>
    <t>已吸收：I04</t>
  </si>
  <si>
    <t>P087</t>
  </si>
  <si>
    <t>雨后未及时组织重点场所积水排查</t>
  </si>
  <si>
    <t>制定雨后专项巡查机制，对天台、地下室、工地、绿化带等重点复查</t>
  </si>
  <si>
    <t>已吸收：I12</t>
  </si>
  <si>
    <t>P088</t>
  </si>
  <si>
    <t>住户、租户不了解清积水与水植换洗措施</t>
  </si>
  <si>
    <t>开展有针对性的健康宣教，结合实物示范翻盆倒罐、刷洗内壁等</t>
  </si>
  <si>
    <t>已吸收：I07</t>
  </si>
  <si>
    <t>P089</t>
  </si>
  <si>
    <t>P090</t>
  </si>
  <si>
    <t>宿舍或厂区多部门分工不清导致死角无人清理</t>
  </si>
  <si>
    <t>明确物业、宿舍管理员、保洁及各部门的责任区域，联合排查并复核</t>
  </si>
  <si>
    <t>已吸收：I05</t>
  </si>
  <si>
    <t>P091</t>
  </si>
  <si>
    <t>未建立空置房、闲置容器等重点风险点清单</t>
  </si>
  <si>
    <t>建立动态风险点清单，标注位置、责任人、检查频次及处理状态</t>
  </si>
  <si>
    <t>已吸收：I02</t>
  </si>
  <si>
    <t>P092</t>
  </si>
  <si>
    <t>消杀单位仅提供作业次数，没有剂量及效果评价信息</t>
  </si>
  <si>
    <t>要求服务方提供产品资质、作业记录、适用场景、药效及蚊媒复测资料</t>
  </si>
  <si>
    <t>已吸收：H09</t>
  </si>
  <si>
    <t>P093</t>
  </si>
  <si>
    <t>问题-建议 清单V2.xlsx</t>
  </si>
  <si>
    <t>问题建议库</t>
  </si>
  <si>
    <t>A01</t>
  </si>
  <si>
    <t>水桶、水盆存有积水</t>
  </si>
  <si>
    <t>及时清除无必要积水；仍需使用的容器加盖并定期清洗</t>
  </si>
  <si>
    <t>重复问题合并</t>
  </si>
  <si>
    <t>合并对应：P001</t>
  </si>
  <si>
    <t>A02</t>
  </si>
  <si>
    <t>闲置桶、盆、瓶露天放置</t>
  </si>
  <si>
    <t>闲置容器倒置、加盖或统一清运，防止雨后重新积水</t>
  </si>
  <si>
    <t>合并对应：P018</t>
  </si>
  <si>
    <t>A03</t>
  </si>
  <si>
    <t>宿舍水培植物较多且长期不换水</t>
  </si>
  <si>
    <t>优先改土培；保留水培的每周至少换水一次并刷洗器壁、根部</t>
  </si>
  <si>
    <t>合并对应：P040</t>
  </si>
  <si>
    <t>A04</t>
  </si>
  <si>
    <t>花盆托盘存在长期积水</t>
  </si>
  <si>
    <t>及时倒掉托盘积水，调整浇水方式</t>
  </si>
  <si>
    <t>合并对应：P005</t>
  </si>
  <si>
    <t>A05</t>
  </si>
  <si>
    <t>生活储水桶或水缸未加盖</t>
  </si>
  <si>
    <t>加装严密盖板或防蚊网，防止伊蚊进入产卵</t>
  </si>
  <si>
    <t>合并对应：P002</t>
  </si>
  <si>
    <t>A06</t>
  </si>
  <si>
    <t>卫生间长期放置盛水容器</t>
  </si>
  <si>
    <t>减少非必要储水；必要容器加盖并定期清洗</t>
  </si>
  <si>
    <t>合并对应：P008</t>
  </si>
  <si>
    <t>A07</t>
  </si>
  <si>
    <t>冰箱接水盘或空调冷凝水盘积水</t>
  </si>
  <si>
    <t>清理接水盘并疏通排水管，防止积水持续存在</t>
  </si>
  <si>
    <t>合并对应：P006</t>
  </si>
  <si>
    <t>A08</t>
  </si>
  <si>
    <t>缺失问题补充</t>
  </si>
  <si>
    <t>另一表无对应问题</t>
  </si>
  <si>
    <t>A09</t>
  </si>
  <si>
    <t>多间空置宿舍长期无人检查</t>
  </si>
  <si>
    <t>空置宿舍长期不检查，可能使隐蔽积水和蚊媒风险点持续存在，形成排查及整改盲区。</t>
  </si>
  <si>
    <t>建立空置宿舍台账，协调责任人定期入内排查并记录</t>
  </si>
  <si>
    <t>合并对应：P041</t>
  </si>
  <si>
    <t>A10</t>
  </si>
  <si>
    <t>A11</t>
  </si>
  <si>
    <t>宿舍纱门纱窗缺失或破损</t>
  </si>
  <si>
    <t>完善物理防蚊设施，修补破损纱网</t>
  </si>
  <si>
    <t>合并对应：P056</t>
  </si>
  <si>
    <t>A12</t>
  </si>
  <si>
    <t>A13</t>
  </si>
  <si>
    <t>A14</t>
  </si>
  <si>
    <t>动物饮水槽长期不清洗</t>
  </si>
  <si>
    <t>至少每周彻底换水刷洗，同时保障动物饮水</t>
  </si>
  <si>
    <t>合并对应：P009</t>
  </si>
  <si>
    <t>A15</t>
  </si>
  <si>
    <t>B01</t>
  </si>
  <si>
    <t>厂区废旧轮胎露天存水</t>
  </si>
  <si>
    <t>及时清运；暂不能清运的严密遮盖避免积水</t>
  </si>
  <si>
    <t>合并对应：P016</t>
  </si>
  <si>
    <t>B02</t>
  </si>
  <si>
    <t>闲置机械、铁桶、塑料桶积水</t>
  </si>
  <si>
    <t>分类清理闲置设备及容器，保留设备遮盖或排水</t>
  </si>
  <si>
    <t>合并对应：P042</t>
  </si>
  <si>
    <t>B03</t>
  </si>
  <si>
    <t>B04</t>
  </si>
  <si>
    <t>覆盖生产物资的防水布凹陷积水</t>
  </si>
  <si>
    <t>拉紧固定防水布，消除低洼积水点</t>
  </si>
  <si>
    <t>合并对应：P017</t>
  </si>
  <si>
    <t>B05</t>
  </si>
  <si>
    <t>基坑、地下室存在积水</t>
  </si>
  <si>
    <t>及时抽排；确实无法清除的水体经专业评估后定向灭幼蚊</t>
  </si>
  <si>
    <t>合并对应：P029</t>
  </si>
  <si>
    <t>B06</t>
  </si>
  <si>
    <t>脚手架管和建材凹槽积水</t>
  </si>
  <si>
    <t>排查管材支架及孔洞，采取排水、翻转或遮盖措施</t>
  </si>
  <si>
    <t>合并对应：P046</t>
  </si>
  <si>
    <t>B07</t>
  </si>
  <si>
    <t>工地排水沟淤堵</t>
  </si>
  <si>
    <t>清理淤泥和垃圾，恢复排水通畅</t>
  </si>
  <si>
    <t>合并对应：P026</t>
  </si>
  <si>
    <t>B08</t>
  </si>
  <si>
    <t>废弃建材长期露天堆放</t>
  </si>
  <si>
    <t>分类堆放和清运废弃建材，减少积水容器</t>
  </si>
  <si>
    <t>合并对应：P047</t>
  </si>
  <si>
    <t>B09</t>
  </si>
  <si>
    <t>工地临时工棚缺乏防蚊设施</t>
  </si>
  <si>
    <t>完善纱网、蚊帐并开展工人个人防护宣教</t>
  </si>
  <si>
    <t>合并对应：P048</t>
  </si>
  <si>
    <t>B10</t>
  </si>
  <si>
    <t>车间和仓库周边绿化茂密且成蚊较多</t>
  </si>
  <si>
    <t>清杂草修剪植被，结合监测开展成蚊控制</t>
  </si>
  <si>
    <t>合并对应：P023</t>
  </si>
  <si>
    <t>B11</t>
  </si>
  <si>
    <t>B12</t>
  </si>
  <si>
    <t>C01</t>
  </si>
  <si>
    <t>房前屋后瓶罐旧家具和垃圾堆积</t>
  </si>
  <si>
    <t>集中清理可积水废弃物，落实环境卫生维护</t>
  </si>
  <si>
    <t>合并对应：P014</t>
  </si>
  <si>
    <t>C02</t>
  </si>
  <si>
    <t>C03</t>
  </si>
  <si>
    <t>屋顶或屋檐排水沟积水</t>
  </si>
  <si>
    <t>疏通排水沟并清理落叶杂物，雨后复查</t>
  </si>
  <si>
    <t>合并对应：P027</t>
  </si>
  <si>
    <t>C04</t>
  </si>
  <si>
    <t>C05</t>
  </si>
  <si>
    <t>树洞、竹筒和竹节积水</t>
  </si>
  <si>
    <t>采用不损伤植物的排水、遮盖或适宜填补措施</t>
  </si>
  <si>
    <t>合并对应：P019</t>
  </si>
  <si>
    <t>C06</t>
  </si>
  <si>
    <t>C07</t>
  </si>
  <si>
    <t>绿化带藏有饮料瓶包装盒</t>
  </si>
  <si>
    <t>精细排查清运容器垃圾，清除细小积水</t>
  </si>
  <si>
    <t>合并对应：P015</t>
  </si>
  <si>
    <t>C08</t>
  </si>
  <si>
    <t>公共花盆托盘和水景容器积水</t>
  </si>
  <si>
    <t>督促管理单位定期清理并防止复发</t>
  </si>
  <si>
    <t>C09</t>
  </si>
  <si>
    <t>地下停车场集水井有滞水</t>
  </si>
  <si>
    <t>维护排水设施，检查井口防蚊和灭幼蚊措施</t>
  </si>
  <si>
    <t>合并对应：P030</t>
  </si>
  <si>
    <t>C10</t>
  </si>
  <si>
    <t>无人管理空地杂草和垃圾堆积</t>
  </si>
  <si>
    <t>协调责任单位清杂草垃圾和积水容器</t>
  </si>
  <si>
    <t>C11</t>
  </si>
  <si>
    <t>雨后低洼处形成多处积水</t>
  </si>
  <si>
    <t>加强雨后巡查，及时排除可以排除的积水</t>
  </si>
  <si>
    <t>合并对应：P028</t>
  </si>
  <si>
    <t>C12</t>
  </si>
  <si>
    <t>C13</t>
  </si>
  <si>
    <t>C14</t>
  </si>
  <si>
    <t>D01</t>
  </si>
  <si>
    <t>学校教室水培植物未换水</t>
  </si>
  <si>
    <t>每周至少换水一次并清洗根部和容器内壁</t>
  </si>
  <si>
    <t>合并对应：P043</t>
  </si>
  <si>
    <t>D02</t>
  </si>
  <si>
    <t>校园运动器材凹槽或轮胎积水</t>
  </si>
  <si>
    <t>开展设备巡查，清除积水并减少雨后反复积水</t>
  </si>
  <si>
    <t>合并对应：P044</t>
  </si>
  <si>
    <t>D03</t>
  </si>
  <si>
    <t>D04</t>
  </si>
  <si>
    <t>D05</t>
  </si>
  <si>
    <t>D06</t>
  </si>
  <si>
    <t>医疗机构病例病房缺少防蚊隔离</t>
  </si>
  <si>
    <t>病例病房缺少防蚊隔离，具有传染性的病例可能遭伊蚊叮咬，增加院内相关传播风险。</t>
  </si>
  <si>
    <t>指导完善蚊帐、纱网等防蚊隔离措施</t>
  </si>
  <si>
    <t>合并对应：P081</t>
  </si>
  <si>
    <t>D07</t>
  </si>
  <si>
    <t>D08</t>
  </si>
  <si>
    <t>酒店花园和公共区域积水</t>
  </si>
  <si>
    <t>强化客房周边绿化带及公共区域排查</t>
  </si>
  <si>
    <t>合并对应：P053</t>
  </si>
  <si>
    <t>D09</t>
  </si>
  <si>
    <t>花卉市场储水器皿密集</t>
  </si>
  <si>
    <t>定期换水刷洗花盆、水培瓶和托盘</t>
  </si>
  <si>
    <t>合并对应：P050</t>
  </si>
  <si>
    <t>D10</t>
  </si>
  <si>
    <t>公园景观水体无法排空</t>
  </si>
  <si>
    <t>专业评估水体，采取适宜治理、物理防蚊或灭幼蚊措施</t>
  </si>
  <si>
    <t>合并对应：P032</t>
  </si>
  <si>
    <t>D11</t>
  </si>
  <si>
    <t>景区绿地、垃圾桶、雨棚有积水</t>
  </si>
  <si>
    <t>清运容器垃圾，整治积水并开展游客防蚊提示</t>
  </si>
  <si>
    <t>合并对应：P055</t>
  </si>
  <si>
    <t>D12</t>
  </si>
  <si>
    <t>口岸、车站和物流园区防蚊不足</t>
  </si>
  <si>
    <t>完善设施，组织媒介监测和部门风险信息共享</t>
  </si>
  <si>
    <t>合并对应：P054</t>
  </si>
  <si>
    <t>E01</t>
  </si>
  <si>
    <t>E02</t>
  </si>
  <si>
    <t>E03</t>
  </si>
  <si>
    <t>E04</t>
  </si>
  <si>
    <t>E05</t>
  </si>
  <si>
    <t>病例报告超过规定时限</t>
  </si>
  <si>
    <t>病例报告超时可能使流调、蚊媒控制及风险告知启动滞后。</t>
  </si>
  <si>
    <t>指导医疗机构依法在24小时内网络直报并核查质量</t>
  </si>
  <si>
    <t>合并对应：P079</t>
  </si>
  <si>
    <t>E06</t>
  </si>
  <si>
    <t>E07</t>
  </si>
  <si>
    <t>病例诊疗时未落实防蚊隔离</t>
  </si>
  <si>
    <t>按现行防控方案落实防蚊隔离，减少人蚊人传播</t>
  </si>
  <si>
    <t>E08</t>
  </si>
  <si>
    <t>居家病例未设置纱网蚊帐</t>
  </si>
  <si>
    <t>指导做好纱窗蚊帐、驱蚊剂和清除积水等措施</t>
  </si>
  <si>
    <t>合并对应：P057</t>
  </si>
  <si>
    <t>E09</t>
  </si>
  <si>
    <t>E10</t>
  </si>
  <si>
    <t>不符合条件便解除防蚊隔离</t>
  </si>
  <si>
    <t>根据病程、退热和核酸情况按2026方案判断解除时点</t>
  </si>
  <si>
    <t>合并对应：P083</t>
  </si>
  <si>
    <t>E11</t>
  </si>
  <si>
    <t>E12</t>
  </si>
  <si>
    <t>F01</t>
  </si>
  <si>
    <t>病例活动轨迹调查不完整</t>
  </si>
  <si>
    <t>核实病例发病前后住所工作地点就诊等活动及日期</t>
  </si>
  <si>
    <t>合并对应：P074</t>
  </si>
  <si>
    <t>F02</t>
  </si>
  <si>
    <t>只查住所而漏掉工作点宿舍</t>
  </si>
  <si>
    <t>分别评估病例传染期经常活动场所传播风险</t>
  </si>
  <si>
    <t>F03</t>
  </si>
  <si>
    <t>未核查共同工作居住旅行者</t>
  </si>
  <si>
    <t>搜索共同暴露者并指导健康监测和防蚊</t>
  </si>
  <si>
    <t>合并对应：P078</t>
  </si>
  <si>
    <t>F04</t>
  </si>
  <si>
    <t>核心区划定偏小或不合理</t>
  </si>
  <si>
    <t>参照传染期活动地点并以不小于100米半径科学划定</t>
  </si>
  <si>
    <t>合并对应：P076</t>
  </si>
  <si>
    <t>F05</t>
  </si>
  <si>
    <t>遗漏警戒区和监控区划定</t>
  </si>
  <si>
    <t>依据风险评估和周边地理环境划定并动态调整</t>
  </si>
  <si>
    <t>F06</t>
  </si>
  <si>
    <t>F07</t>
  </si>
  <si>
    <t>F08</t>
  </si>
  <si>
    <t>F09</t>
  </si>
  <si>
    <t>F10</t>
  </si>
  <si>
    <t>达到突发事件条件却未及时报告</t>
  </si>
  <si>
    <t>达到相应报告条件而未报告，可能延误联防联控响应和资源调配。</t>
  </si>
  <si>
    <t>核实12天内聚集性条件并按规定2小时内报告事件</t>
  </si>
  <si>
    <t>合并对应：P080</t>
  </si>
  <si>
    <t>F11</t>
  </si>
  <si>
    <t>疫情下降便提前停止防控</t>
  </si>
  <si>
    <t>综合病例、BI、成蚊指标及终止条件研判</t>
  </si>
  <si>
    <t>合并对应：P084</t>
  </si>
  <si>
    <t>G01</t>
  </si>
  <si>
    <t>G02</t>
  </si>
  <si>
    <t>监测点缺少代表性</t>
  </si>
  <si>
    <t>依人口环境气候既往疫情优化点位</t>
  </si>
  <si>
    <t>合并对应：P065</t>
  </si>
  <si>
    <t>G03</t>
  </si>
  <si>
    <t>只监测幼蚊不调查成蚊</t>
  </si>
  <si>
    <t>按方案同步开展相应成蚊密度监测</t>
  </si>
  <si>
    <t>合并对应：P066</t>
  </si>
  <si>
    <t>G04</t>
  </si>
  <si>
    <t>G05</t>
  </si>
  <si>
    <t>监测结果未达控制目标</t>
  </si>
  <si>
    <t>反馈监测结果和风险，指导针对性治理</t>
  </si>
  <si>
    <t>合并对应：P069</t>
  </si>
  <si>
    <t>G06</t>
  </si>
  <si>
    <t>疫情核心区未开展每日监测</t>
  </si>
  <si>
    <t>依现行应急规定开展核心区每日监测及达标后调整频次</t>
  </si>
  <si>
    <t>合并对应：P067</t>
  </si>
  <si>
    <t>G07</t>
  </si>
  <si>
    <t>警戒区和监控区没有持续监测</t>
  </si>
  <si>
    <t>按方案分别落实每周和每两周频次</t>
  </si>
  <si>
    <t>合并对应：P068</t>
  </si>
  <si>
    <t>G08</t>
  </si>
  <si>
    <t>监测未定位阳性容器</t>
  </si>
  <si>
    <t>记录容器类型数量位置形成治理清单</t>
  </si>
  <si>
    <t>合并对应：P070</t>
  </si>
  <si>
    <t>G09</t>
  </si>
  <si>
    <t>G10</t>
  </si>
  <si>
    <t>未开展伊蚊抗药性评估</t>
  </si>
  <si>
    <t>未掌握杀虫剂抗药性状况，可能造成选药不适宜、灭蚊效果下降及成蚊密度反弹。</t>
  </si>
  <si>
    <t>依规定开展抗药性监测并指导药剂选择</t>
  </si>
  <si>
    <t>合并对应：P072</t>
  </si>
  <si>
    <t>G11</t>
  </si>
  <si>
    <t>只喷杀成蚊不清理孳生地</t>
  </si>
  <si>
    <t>以环境治理为基础，同步控制成蚊和幼蚊</t>
  </si>
  <si>
    <t>合并对应：P060</t>
  </si>
  <si>
    <t>疫情核心区只清积水未控制成蚊</t>
  </si>
  <si>
    <t>按疫情性质及成蚊监测结果及时采取应急灭蚊</t>
  </si>
  <si>
    <t>合并对应：P077</t>
  </si>
  <si>
    <t>无法清除的小型水体持续存在</t>
  </si>
  <si>
    <t>无法清除且具备适宜条件的水体持续存在，可能形成伊蚊孳生地并增加媒介密度。</t>
  </si>
  <si>
    <t>优先遮盖排空改造；必要时由专业人员使用适用灭幼剂</t>
  </si>
  <si>
    <t>合并对应：P063</t>
  </si>
  <si>
    <t>消杀药剂合法性适用性未经核查</t>
  </si>
  <si>
    <t>使用不合规或不适用的消杀药剂，可能造成防制无效、人体暴露或环境健康风险。</t>
  </si>
  <si>
    <t>选用我国合格卫生杀虫剂并遵照标签</t>
  </si>
  <si>
    <t>合并对应：P061</t>
  </si>
  <si>
    <t>消杀时段不符合蚊媒活动规律</t>
  </si>
  <si>
    <t>结合监测与气象条件科学安排喷雾</t>
  </si>
  <si>
    <t>合并对应：P062</t>
  </si>
  <si>
    <t>消杀记录缺时间药剂剂量</t>
  </si>
  <si>
    <t>消杀记录不完整，可能导致用药过程无法追溯、质量控制与整改复核困难。</t>
  </si>
  <si>
    <t>建立可追溯作业台账</t>
  </si>
  <si>
    <t>合并对应：P092</t>
  </si>
  <si>
    <t>消杀后未开展效果评价</t>
  </si>
  <si>
    <t>缺少灭蚊后评估，可能使未达标或反弹情况未被及时识别，影响后续防制决策。</t>
  </si>
  <si>
    <t>及时开展成蚊密度复测与必要的药效评估</t>
  </si>
  <si>
    <t>合并对应：P071</t>
  </si>
  <si>
    <t>只依赖化学消杀</t>
  </si>
  <si>
    <t>加强环境治理物理防护和必要的化学生物防制综合施策</t>
  </si>
  <si>
    <t>H13</t>
  </si>
  <si>
    <t>向水体随意投灭幼剂</t>
  </si>
  <si>
    <t>未经评估随意向水体投放灭幼剂，可能产生非必要的人员和环境暴露风险；涉及生活饮用水的风险更应严格控制。</t>
  </si>
  <si>
    <t>核实水体用途，严禁未经评估向生活饮用水擅自投药</t>
  </si>
  <si>
    <t>合并对应：P064</t>
  </si>
  <si>
    <t>H14</t>
  </si>
  <si>
    <t>I01</t>
  </si>
  <si>
    <t>未明确场所防蚊管理责任人员</t>
  </si>
  <si>
    <t>指导相关单位明确责任人与日常巡查任务</t>
  </si>
  <si>
    <t>合并对应：P085</t>
  </si>
  <si>
    <t>I02</t>
  </si>
  <si>
    <t>未建立孳生地检查台账</t>
  </si>
  <si>
    <t>记录位置问题措施处理时间和复查情况</t>
  </si>
  <si>
    <t>合并对应：P091</t>
  </si>
  <si>
    <t>I03</t>
  </si>
  <si>
    <t>I04</t>
  </si>
  <si>
    <t>整改后无照片和记录</t>
  </si>
  <si>
    <t>留存整改前后影像及必要监测结果</t>
  </si>
  <si>
    <t>合并对应：P086</t>
  </si>
  <si>
    <t>I05</t>
  </si>
  <si>
    <t>跨部门区域治理责任不清</t>
  </si>
  <si>
    <t>向属地联防联控机制反馈并推动协作</t>
  </si>
  <si>
    <t>合并对应：P090</t>
  </si>
  <si>
    <t>I06</t>
  </si>
  <si>
    <t>I07</t>
  </si>
  <si>
    <t>居民不知道蚊媒传播机制</t>
  </si>
  <si>
    <t>宣教清积水防叮咬和疑似症状及时就诊</t>
  </si>
  <si>
    <t>合并对应：P088</t>
  </si>
  <si>
    <t>I08</t>
  </si>
  <si>
    <t>I09</t>
  </si>
  <si>
    <t>I10</t>
  </si>
  <si>
    <t>I11</t>
  </si>
  <si>
    <t>I12</t>
  </si>
  <si>
    <t>暴雨台风后未加强积水排查</t>
  </si>
  <si>
    <t>灾后新增积水未及时检查，可能造成孳生地持续存在或反复出现，影响后续治理。</t>
  </si>
  <si>
    <t>雨后及时排查重点场所与新增积水</t>
  </si>
  <si>
    <t>合并对应：P087</t>
  </si>
  <si>
    <t>主题</t>
  </si>
  <si>
    <t>说明</t>
  </si>
  <si>
    <t>输入文件1</t>
  </si>
  <si>
    <t>问题-建议 清单 V2.xlsx；取工作表“问题建议总库”，93条。</t>
  </si>
  <si>
    <t>输入文件2</t>
  </si>
  <si>
    <t>问题-建议 清单V2.xlsx；取工作表“问题建议库”，从第5行开始113条。</t>
  </si>
  <si>
    <t>工作表命名差异</t>
  </si>
  <si>
    <t>文件1未含名为“问题建议库”的工作表，因此使用内容相应的“问题建议总库”作为并集来源。</t>
  </si>
  <si>
    <t>合并口径</t>
  </si>
  <si>
    <t>优先依据现场问题、对象、处置措施的实质相同进行语义匹配；不只是比较文字是否完全一致。</t>
  </si>
  <si>
    <t>避免过度合并</t>
  </si>
  <si>
    <t>对发生场景、违法/风险点、诊断检测和处置要求不同的问题保留为独立记录，即使后果类别相同。</t>
  </si>
  <si>
    <t>数据总量</t>
  </si>
  <si>
    <t>93 + 113 = 206条原始记录；68条文件2记录并入文件1已有问题；45条文件2独有问题补入；最终138条。</t>
  </si>
  <si>
    <t>合并后的问题表述</t>
  </si>
  <si>
    <t>保留具有明确检查对象、风险情境的标准化问题文字；对部分重复记录整合为较完整的表述。</t>
  </si>
  <si>
    <t>合并后的整改建议</t>
  </si>
  <si>
    <t>主表优先采用更完整、可操作的技术建议；如存在补充条件则整合，所有原始建议仍完整保存在追溯表。</t>
  </si>
  <si>
    <t>“宠物”事项</t>
  </si>
  <si>
    <t>文件1 P009“宠物或家禽饮水器具长期未换水”与文件2 A14“动物饮水槽长期不清洗”合并，形成M009。</t>
  </si>
  <si>
    <t>主要不良后果归类</t>
  </si>
  <si>
    <t>统一本来不同的 H 系列、R 系列标签为H01—H12共12个工作分类；不等于疫情风险分级。</t>
  </si>
  <si>
    <t>缺失信息填补</t>
  </si>
  <si>
    <t>第二表独有的45条补充至问题建议库；第一表独有记录的责任方、复核点提供明确标注为建议性的字段。</t>
  </si>
  <si>
    <t>整改时效</t>
  </si>
  <si>
    <t>原第一表已有的“推荐时效”予以保留；文件2独有问题填“结合现场研判”，不虚构法定整改期限。</t>
  </si>
  <si>
    <t>两热通用类保留联合适用；基孔肯雅热特异临床问题标注重点适用。</t>
  </si>
  <si>
    <t>依据来源</t>
  </si>
  <si>
    <t>官方与原始资料网址按URL去重并入；如多个来源则在同一单元格分行显示。</t>
  </si>
  <si>
    <t>统一提供“未检查”作为默认状态，便于后续选中问题自动生成报告。</t>
  </si>
  <si>
    <t>数据追溯</t>
  </si>
  <si>
    <t>原始记录追溯表逐条列出206条原文，标识对应的合并后编号、合并/补入状态。</t>
  </si>
  <si>
    <t>后续使用</t>
  </si>
  <si>
    <t>将“问题建议库”作为自动生成工具的主规则库；以问题编号为唯一键匹配问题、风险后果和建议。</t>
  </si>
  <si>
    <t>人工核查提醒</t>
  </si>
  <si>
    <t>标准化问题为可能发现情形，不代表已实际发生；蚊媒指数、疫情区域划定、病例管理应按现行权威文件核实。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</si>
</sst>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7"/>
      <color rgb="FFFFFFFF"/>
      <name val="Carlito"/>
      <charset val="134"/>
    </font>
    <font>
      <sz val="10"/>
      <color rgb="FF163042"/>
      <name val="Carlito"/>
      <charset val="134"/>
    </font>
    <font>
      <sz val="10"/>
      <color rgb="FF475569"/>
      <name val="Carlito"/>
      <charset val="134"/>
    </font>
    <font>
      <b/>
      <sz val="20"/>
      <color rgb="FF0F7581"/>
      <name val="Carlito"/>
      <charset val="134"/>
    </font>
    <font>
      <sz val="10"/>
      <color rgb="FF14532D"/>
      <name val="Carlito"/>
      <charset val="134"/>
    </font>
    <font>
      <sz val="11"/>
      <color rgb="FF64748B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5324B"/>
        <bgColor indexed="64"/>
      </patternFill>
    </fill>
    <fill>
      <patternFill patternType="solid">
        <fgColor rgb="FFEAF4F7"/>
        <bgColor indexed="64"/>
      </patternFill>
    </fill>
    <fill>
      <patternFill patternType="solid">
        <fgColor rgb="FFE8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EFF8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0" borderId="4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0" fillId="0" borderId="0" xfId="49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4" borderId="0" xfId="49" applyNumberFormat="1" applyFont="1" applyFill="1" applyBorder="1" applyAlignment="1">
      <alignment horizontal="center" vertical="center" wrapText="1"/>
    </xf>
    <xf numFmtId="0" fontId="3" fillId="2" borderId="0" xfId="49" applyNumberFormat="1" applyFont="1" applyFill="1" applyBorder="1" applyAlignment="1">
      <alignment horizontal="left" vertical="center"/>
    </xf>
    <xf numFmtId="0" fontId="4" fillId="3" borderId="0" xfId="49" applyNumberFormat="1" applyFont="1" applyFill="1" applyBorder="1"/>
    <xf numFmtId="0" fontId="5" fillId="3" borderId="0" xfId="49" applyNumberFormat="1" applyFont="1" applyFill="1" applyBorder="1"/>
    <xf numFmtId="0" fontId="6" fillId="5" borderId="0" xfId="49" applyNumberFormat="1" applyFont="1" applyFill="1" applyBorder="1"/>
    <xf numFmtId="0" fontId="0" fillId="0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/>
    <xf numFmtId="0" fontId="2" fillId="3" borderId="0" xfId="49" applyNumberFormat="1" applyFont="1" applyFill="1" applyBorder="1" applyAlignment="1">
      <alignment horizontal="center"/>
    </xf>
    <xf numFmtId="0" fontId="5" fillId="6" borderId="0" xfId="49" applyNumberFormat="1" applyFont="1" applyFill="1" applyBorder="1" applyAlignment="1">
      <alignment wrapText="1"/>
    </xf>
    <xf numFmtId="0" fontId="7" fillId="7" borderId="0" xfId="49" applyNumberFormat="1" applyFont="1" applyFill="1" applyBorder="1" applyAlignment="1">
      <alignment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8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43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PivotStylePreset2_Accent1" table="0" count="10" xr9:uid="{267968C8-6FFD-4C36-ACC1-9EA1FD1885CA}">
      <tableStyleElement type="headerRow" dxfId="42"/>
      <tableStyleElement type="totalRow" dxfId="41"/>
      <tableStyleElement type="firstRowStripe" dxfId="40"/>
      <tableStyleElement type="firstColumnStripe" dxfId="39"/>
      <tableStyleElement type="firstSubtotalRow" dxfId="38"/>
      <tableStyleElement type="secondSubtotalRow" dxfId="37"/>
      <tableStyleElement type="firstRowSubheading" dxfId="36"/>
      <tableStyleElement type="secondRowSubheading" dxfId="35"/>
      <tableStyleElement type="pageFieldLabels" dxfId="34"/>
      <tableStyleElement type="pageFieldValues" dxfId="3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ergedIssueLibrary" displayName="MergedIssueLibrary" ref="A1:Q139" totalsRowShown="0">
  <autoFilter xmlns:etc="http://www.wps.cn/officeDocument/2017/etCustomData" ref="A1:Q139" etc:filterBottomFollowUsedRange="0"/>
  <tableColumns count="17">
    <tableColumn id="1" name="序号" dataDxfId="0"/>
    <tableColumn id="2" name="问题编号" dataDxfId="1"/>
    <tableColumn id="3" name="工作领域（统一）" dataDxfId="2"/>
    <tableColumn id="4" name="可能发现的问题" dataDxfId="3"/>
    <tableColumn id="5" name="可能造成的不良后果" dataDxfId="4"/>
    <tableColumn id="6" name="后果类别编号" dataDxfId="5"/>
    <tableColumn id="7" name="后果类别名称" dataDxfId="6"/>
    <tableColumn id="8" name="疾控中心技术建议" dataDxfId="7"/>
    <tableColumn id="9" name="协作责任方（建议）" dataDxfId="8"/>
    <tableColumn id="10" name="建议复核点" dataDxfId="9"/>
    <tableColumn id="11" name="整改时效建议（非强制）" dataDxfId="10"/>
    <tableColumn id="12" name="疾病适用" dataDxfId="11"/>
    <tableColumn id="13" name="权威依据网址" dataDxfId="12"/>
    <tableColumn id="14" name="现场状态" dataDxfId="13"/>
    <tableColumn id="15" name="原始编号与来源" dataDxfId="14"/>
    <tableColumn id="16" name="原始场景分类" dataDxfId="15"/>
    <tableColumn id="17" name="合并说明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riginalRecordTrace" displayName="OriginalRecordTrace" ref="A1:I207" totalsRowShown="0">
  <tableColumns count="9">
    <tableColumn id="1" name="来源文件" dataDxfId="17"/>
    <tableColumn id="2" name="来源工作表" dataDxfId="18"/>
    <tableColumn id="3" name="原始编号" dataDxfId="19"/>
    <tableColumn id="4" name="原始问题（原文）" dataDxfId="20"/>
    <tableColumn id="5" name="原始不良后果（原文）" dataDxfId="21"/>
    <tableColumn id="6" name="原始建议（原文）" dataDxfId="22"/>
    <tableColumn id="7" name="合并后编号" dataDxfId="23"/>
    <tableColumn id="8" name="处理方式" dataDxfId="24"/>
    <tableColumn id="9" name="原始记录处理说明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9"/>
  <sheetViews>
    <sheetView tabSelected="1" workbookViewId="0">
      <pane xSplit="3" ySplit="1" topLeftCell="D8" activePane="bottomRight" state="frozen"/>
      <selection/>
      <selection pane="topRight"/>
      <selection pane="bottomLeft"/>
      <selection pane="bottomRight" activeCell="E1" sqref="E1"/>
    </sheetView>
  </sheetViews>
  <sheetFormatPr defaultColWidth="9" defaultRowHeight="16.8"/>
  <cols>
    <col min="1" max="1" width="4.41176470588235" style="1" customWidth="1"/>
    <col min="2" max="2" width="7.35294117647059" style="1" customWidth="1"/>
    <col min="3" max="3" width="17.2058823529412" style="1" customWidth="1"/>
    <col min="4" max="4" width="41.9117647058824" style="1" customWidth="1"/>
    <col min="5" max="5" width="48.5294117647059" style="1" customWidth="1"/>
    <col min="6" max="6" width="10.7352941176471" style="1" customWidth="1"/>
    <col min="7" max="7" width="23.8235294117647" style="1" customWidth="1"/>
    <col min="8" max="8" width="53.5294117647059" style="1" customWidth="1"/>
    <col min="9" max="9" width="28.8235294117647" style="1" customWidth="1"/>
    <col min="10" max="10" width="37.0588235294118" style="1" customWidth="1"/>
    <col min="11" max="11" width="18.9705882352941" style="1" customWidth="1"/>
    <col min="12" max="12" width="20.5882352941176" style="1" customWidth="1"/>
    <col min="13" max="13" width="103.970588235294" style="1" customWidth="1"/>
    <col min="14" max="14" width="7.35294117647059" style="1" customWidth="1"/>
    <col min="15" max="15" width="24.7058823529412" style="1" customWidth="1"/>
    <col min="16" max="16" width="37.0588235294118" style="1" customWidth="1"/>
    <col min="17" max="17" width="39.7058823529412" style="1" customWidth="1"/>
    <col min="18" max="16384" width="9" style="1"/>
  </cols>
  <sheetData>
    <row r="1" ht="30" customHeigh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44" customHeight="1" spans="1:17">
      <c r="A2" s="4">
        <v>1</v>
      </c>
      <c r="B2" s="4" t="s">
        <v>17</v>
      </c>
      <c r="C2" s="4" t="s">
        <v>18</v>
      </c>
      <c r="D2" s="15" t="s">
        <v>19</v>
      </c>
      <c r="E2" s="4" t="s">
        <v>20</v>
      </c>
      <c r="F2" s="5" t="s">
        <v>21</v>
      </c>
      <c r="G2" s="5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16" t="s">
        <v>30</v>
      </c>
      <c r="P2" s="4" t="s">
        <v>31</v>
      </c>
      <c r="Q2" s="4" t="s">
        <v>32</v>
      </c>
    </row>
    <row r="3" ht="44" customHeight="1" spans="1:17">
      <c r="A3" s="4">
        <v>2</v>
      </c>
      <c r="B3" s="4" t="s">
        <v>33</v>
      </c>
      <c r="C3" s="4" t="s">
        <v>18</v>
      </c>
      <c r="D3" s="15" t="s">
        <v>34</v>
      </c>
      <c r="E3" s="4" t="s">
        <v>20</v>
      </c>
      <c r="F3" s="5" t="s">
        <v>21</v>
      </c>
      <c r="G3" s="5" t="s">
        <v>22</v>
      </c>
      <c r="H3" s="4" t="s">
        <v>35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16" t="s">
        <v>36</v>
      </c>
      <c r="P3" s="4" t="s">
        <v>31</v>
      </c>
      <c r="Q3" s="4" t="s">
        <v>32</v>
      </c>
    </row>
    <row r="4" ht="44" customHeight="1" spans="1:17">
      <c r="A4" s="4">
        <v>3</v>
      </c>
      <c r="B4" s="4" t="s">
        <v>37</v>
      </c>
      <c r="C4" s="4" t="s">
        <v>18</v>
      </c>
      <c r="D4" s="15" t="s">
        <v>38</v>
      </c>
      <c r="E4" s="4" t="s">
        <v>20</v>
      </c>
      <c r="F4" s="5" t="s">
        <v>21</v>
      </c>
      <c r="G4" s="5" t="s">
        <v>22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27</v>
      </c>
      <c r="M4" s="4" t="s">
        <v>43</v>
      </c>
      <c r="N4" s="4" t="s">
        <v>29</v>
      </c>
      <c r="O4" s="16" t="s">
        <v>44</v>
      </c>
      <c r="P4" s="4" t="s">
        <v>45</v>
      </c>
      <c r="Q4" s="4" t="s">
        <v>46</v>
      </c>
    </row>
    <row r="5" ht="44" customHeight="1" spans="1:17">
      <c r="A5" s="4">
        <v>4</v>
      </c>
      <c r="B5" s="4" t="s">
        <v>47</v>
      </c>
      <c r="C5" s="4" t="s">
        <v>18</v>
      </c>
      <c r="D5" s="15" t="s">
        <v>48</v>
      </c>
      <c r="E5" s="4" t="s">
        <v>20</v>
      </c>
      <c r="F5" s="5" t="s">
        <v>21</v>
      </c>
      <c r="G5" s="5" t="s">
        <v>22</v>
      </c>
      <c r="H5" s="4" t="s">
        <v>49</v>
      </c>
      <c r="I5" s="4" t="s">
        <v>40</v>
      </c>
      <c r="J5" s="4" t="s">
        <v>41</v>
      </c>
      <c r="K5" s="4" t="s">
        <v>42</v>
      </c>
      <c r="L5" s="4" t="s">
        <v>27</v>
      </c>
      <c r="M5" s="4" t="s">
        <v>43</v>
      </c>
      <c r="N5" s="4" t="s">
        <v>29</v>
      </c>
      <c r="O5" s="16" t="s">
        <v>50</v>
      </c>
      <c r="P5" s="4" t="s">
        <v>45</v>
      </c>
      <c r="Q5" s="4" t="s">
        <v>46</v>
      </c>
    </row>
    <row r="6" ht="44" customHeight="1" spans="1:17">
      <c r="A6" s="4">
        <v>5</v>
      </c>
      <c r="B6" s="4" t="s">
        <v>51</v>
      </c>
      <c r="C6" s="4" t="s">
        <v>18</v>
      </c>
      <c r="D6" s="15" t="s">
        <v>52</v>
      </c>
      <c r="E6" s="4" t="s">
        <v>20</v>
      </c>
      <c r="F6" s="5" t="s">
        <v>21</v>
      </c>
      <c r="G6" s="5" t="s">
        <v>22</v>
      </c>
      <c r="H6" s="4" t="s">
        <v>53</v>
      </c>
      <c r="I6" s="4" t="s">
        <v>54</v>
      </c>
      <c r="J6" s="4" t="s">
        <v>25</v>
      </c>
      <c r="K6" s="4" t="s">
        <v>26</v>
      </c>
      <c r="L6" s="4" t="s">
        <v>27</v>
      </c>
      <c r="M6" s="4" t="s">
        <v>55</v>
      </c>
      <c r="N6" s="4" t="s">
        <v>29</v>
      </c>
      <c r="O6" s="16" t="s">
        <v>56</v>
      </c>
      <c r="P6" s="4" t="s">
        <v>57</v>
      </c>
      <c r="Q6" s="4" t="s">
        <v>32</v>
      </c>
    </row>
    <row r="7" ht="44" customHeight="1" spans="1:17">
      <c r="A7" s="4">
        <v>6</v>
      </c>
      <c r="B7" s="4" t="s">
        <v>58</v>
      </c>
      <c r="C7" s="4" t="s">
        <v>18</v>
      </c>
      <c r="D7" s="15" t="s">
        <v>59</v>
      </c>
      <c r="E7" s="4" t="s">
        <v>20</v>
      </c>
      <c r="F7" s="5" t="s">
        <v>21</v>
      </c>
      <c r="G7" s="5" t="s">
        <v>22</v>
      </c>
      <c r="H7" s="4" t="s">
        <v>60</v>
      </c>
      <c r="I7" s="4" t="s">
        <v>24</v>
      </c>
      <c r="J7" s="4" t="s">
        <v>25</v>
      </c>
      <c r="K7" s="4" t="s">
        <v>42</v>
      </c>
      <c r="L7" s="4" t="s">
        <v>27</v>
      </c>
      <c r="M7" s="4" t="s">
        <v>28</v>
      </c>
      <c r="N7" s="4" t="s">
        <v>29</v>
      </c>
      <c r="O7" s="16" t="s">
        <v>61</v>
      </c>
      <c r="P7" s="4" t="s">
        <v>31</v>
      </c>
      <c r="Q7" s="4" t="s">
        <v>32</v>
      </c>
    </row>
    <row r="8" ht="44" customHeight="1" spans="1:17">
      <c r="A8" s="4">
        <v>7</v>
      </c>
      <c r="B8" s="4" t="s">
        <v>62</v>
      </c>
      <c r="C8" s="4" t="s">
        <v>18</v>
      </c>
      <c r="D8" s="15" t="s">
        <v>63</v>
      </c>
      <c r="E8" s="4" t="s">
        <v>20</v>
      </c>
      <c r="F8" s="5" t="s">
        <v>21</v>
      </c>
      <c r="G8" s="5" t="s">
        <v>22</v>
      </c>
      <c r="H8" s="4" t="s">
        <v>64</v>
      </c>
      <c r="I8" s="4" t="s">
        <v>40</v>
      </c>
      <c r="J8" s="4" t="s">
        <v>41</v>
      </c>
      <c r="K8" s="4" t="s">
        <v>42</v>
      </c>
      <c r="L8" s="4" t="s">
        <v>27</v>
      </c>
      <c r="M8" s="4" t="s">
        <v>65</v>
      </c>
      <c r="N8" s="4" t="s">
        <v>29</v>
      </c>
      <c r="O8" s="16" t="s">
        <v>66</v>
      </c>
      <c r="P8" s="4" t="s">
        <v>45</v>
      </c>
      <c r="Q8" s="4" t="s">
        <v>46</v>
      </c>
    </row>
    <row r="9" ht="44" customHeight="1" spans="1:17">
      <c r="A9" s="4">
        <v>8</v>
      </c>
      <c r="B9" s="4" t="s">
        <v>67</v>
      </c>
      <c r="C9" s="4" t="s">
        <v>18</v>
      </c>
      <c r="D9" s="15" t="s">
        <v>68</v>
      </c>
      <c r="E9" s="4" t="s">
        <v>20</v>
      </c>
      <c r="F9" s="5" t="s">
        <v>21</v>
      </c>
      <c r="G9" s="5" t="s">
        <v>22</v>
      </c>
      <c r="H9" s="4" t="s">
        <v>69</v>
      </c>
      <c r="I9" s="4" t="s">
        <v>24</v>
      </c>
      <c r="J9" s="4" t="s">
        <v>25</v>
      </c>
      <c r="K9" s="4" t="s">
        <v>26</v>
      </c>
      <c r="L9" s="4" t="s">
        <v>27</v>
      </c>
      <c r="M9" s="4" t="s">
        <v>28</v>
      </c>
      <c r="N9" s="4" t="s">
        <v>29</v>
      </c>
      <c r="O9" s="16" t="s">
        <v>70</v>
      </c>
      <c r="P9" s="4" t="s">
        <v>31</v>
      </c>
      <c r="Q9" s="4" t="s">
        <v>32</v>
      </c>
    </row>
    <row r="10" ht="44" customHeight="1" spans="1:17">
      <c r="A10" s="4">
        <v>9</v>
      </c>
      <c r="B10" s="4" t="s">
        <v>71</v>
      </c>
      <c r="C10" s="4" t="s">
        <v>18</v>
      </c>
      <c r="D10" s="15" t="s">
        <v>72</v>
      </c>
      <c r="E10" s="4" t="s">
        <v>20</v>
      </c>
      <c r="F10" s="5" t="s">
        <v>21</v>
      </c>
      <c r="G10" s="5" t="s">
        <v>22</v>
      </c>
      <c r="H10" s="4" t="s">
        <v>73</v>
      </c>
      <c r="I10" s="4" t="s">
        <v>24</v>
      </c>
      <c r="J10" s="4" t="s">
        <v>25</v>
      </c>
      <c r="K10" s="4" t="s">
        <v>42</v>
      </c>
      <c r="L10" s="4" t="s">
        <v>27</v>
      </c>
      <c r="M10" s="4" t="s">
        <v>28</v>
      </c>
      <c r="N10" s="4" t="s">
        <v>29</v>
      </c>
      <c r="O10" s="16" t="s">
        <v>74</v>
      </c>
      <c r="P10" s="4" t="s">
        <v>31</v>
      </c>
      <c r="Q10" s="4" t="s">
        <v>32</v>
      </c>
    </row>
    <row r="11" ht="44" customHeight="1" spans="1:17">
      <c r="A11" s="4">
        <v>10</v>
      </c>
      <c r="B11" s="4" t="s">
        <v>75</v>
      </c>
      <c r="C11" s="4" t="s">
        <v>18</v>
      </c>
      <c r="D11" s="15" t="s">
        <v>76</v>
      </c>
      <c r="E11" s="4" t="s">
        <v>20</v>
      </c>
      <c r="F11" s="5" t="s">
        <v>21</v>
      </c>
      <c r="G11" s="5" t="s">
        <v>22</v>
      </c>
      <c r="H11" s="4" t="s">
        <v>77</v>
      </c>
      <c r="I11" s="4" t="s">
        <v>40</v>
      </c>
      <c r="J11" s="4" t="s">
        <v>41</v>
      </c>
      <c r="K11" s="4" t="s">
        <v>42</v>
      </c>
      <c r="L11" s="4" t="s">
        <v>27</v>
      </c>
      <c r="M11" s="4" t="s">
        <v>78</v>
      </c>
      <c r="N11" s="4" t="s">
        <v>29</v>
      </c>
      <c r="O11" s="16" t="s">
        <v>79</v>
      </c>
      <c r="P11" s="4" t="s">
        <v>45</v>
      </c>
      <c r="Q11" s="4" t="s">
        <v>46</v>
      </c>
    </row>
    <row r="12" ht="44" customHeight="1" spans="1:17">
      <c r="A12" s="4">
        <v>11</v>
      </c>
      <c r="B12" s="4" t="s">
        <v>80</v>
      </c>
      <c r="C12" s="4" t="s">
        <v>18</v>
      </c>
      <c r="D12" s="15" t="s">
        <v>81</v>
      </c>
      <c r="E12" s="4" t="s">
        <v>82</v>
      </c>
      <c r="F12" s="5" t="s">
        <v>21</v>
      </c>
      <c r="G12" s="5" t="s">
        <v>22</v>
      </c>
      <c r="H12" s="4" t="s">
        <v>83</v>
      </c>
      <c r="I12" s="4" t="s">
        <v>40</v>
      </c>
      <c r="J12" s="4" t="s">
        <v>41</v>
      </c>
      <c r="K12" s="4" t="s">
        <v>26</v>
      </c>
      <c r="L12" s="4" t="s">
        <v>27</v>
      </c>
      <c r="M12" s="4" t="s">
        <v>84</v>
      </c>
      <c r="N12" s="4" t="s">
        <v>29</v>
      </c>
      <c r="O12" s="16" t="s">
        <v>85</v>
      </c>
      <c r="P12" s="4" t="s">
        <v>45</v>
      </c>
      <c r="Q12" s="4" t="s">
        <v>46</v>
      </c>
    </row>
    <row r="13" ht="44" customHeight="1" spans="1:17">
      <c r="A13" s="4">
        <v>12</v>
      </c>
      <c r="B13" s="4" t="s">
        <v>86</v>
      </c>
      <c r="C13" s="4" t="s">
        <v>18</v>
      </c>
      <c r="D13" s="15" t="s">
        <v>87</v>
      </c>
      <c r="E13" s="4" t="s">
        <v>88</v>
      </c>
      <c r="F13" s="5" t="s">
        <v>21</v>
      </c>
      <c r="G13" s="5" t="s">
        <v>22</v>
      </c>
      <c r="H13" s="4" t="s">
        <v>89</v>
      </c>
      <c r="I13" s="4" t="s">
        <v>40</v>
      </c>
      <c r="J13" s="4" t="s">
        <v>41</v>
      </c>
      <c r="K13" s="4" t="s">
        <v>42</v>
      </c>
      <c r="L13" s="4" t="s">
        <v>27</v>
      </c>
      <c r="M13" s="4" t="s">
        <v>43</v>
      </c>
      <c r="N13" s="4" t="s">
        <v>29</v>
      </c>
      <c r="O13" s="16" t="s">
        <v>90</v>
      </c>
      <c r="P13" s="4" t="s">
        <v>45</v>
      </c>
      <c r="Q13" s="4" t="s">
        <v>46</v>
      </c>
    </row>
    <row r="14" ht="44" customHeight="1" spans="1:17">
      <c r="A14" s="4">
        <v>13</v>
      </c>
      <c r="B14" s="4" t="s">
        <v>91</v>
      </c>
      <c r="C14" s="4" t="s">
        <v>18</v>
      </c>
      <c r="D14" s="15" t="s">
        <v>92</v>
      </c>
      <c r="E14" s="4" t="s">
        <v>93</v>
      </c>
      <c r="F14" s="5" t="s">
        <v>21</v>
      </c>
      <c r="G14" s="5" t="s">
        <v>22</v>
      </c>
      <c r="H14" s="4" t="s">
        <v>94</v>
      </c>
      <c r="I14" s="4" t="s">
        <v>40</v>
      </c>
      <c r="J14" s="4" t="s">
        <v>41</v>
      </c>
      <c r="K14" s="4" t="s">
        <v>42</v>
      </c>
      <c r="L14" s="4" t="s">
        <v>27</v>
      </c>
      <c r="M14" s="4" t="s">
        <v>78</v>
      </c>
      <c r="N14" s="4" t="s">
        <v>29</v>
      </c>
      <c r="O14" s="16" t="s">
        <v>95</v>
      </c>
      <c r="P14" s="4" t="s">
        <v>45</v>
      </c>
      <c r="Q14" s="4" t="s">
        <v>46</v>
      </c>
    </row>
    <row r="15" ht="44" customHeight="1" spans="1:17">
      <c r="A15" s="4">
        <v>14</v>
      </c>
      <c r="B15" s="4" t="s">
        <v>96</v>
      </c>
      <c r="C15" s="4" t="s">
        <v>97</v>
      </c>
      <c r="D15" s="15" t="s">
        <v>98</v>
      </c>
      <c r="E15" s="4" t="s">
        <v>20</v>
      </c>
      <c r="F15" s="5" t="s">
        <v>21</v>
      </c>
      <c r="G15" s="5" t="s">
        <v>22</v>
      </c>
      <c r="H15" s="4" t="s">
        <v>99</v>
      </c>
      <c r="I15" s="4" t="s">
        <v>100</v>
      </c>
      <c r="J15" s="4" t="s">
        <v>25</v>
      </c>
      <c r="K15" s="4" t="s">
        <v>26</v>
      </c>
      <c r="L15" s="4" t="s">
        <v>27</v>
      </c>
      <c r="M15" s="4" t="s">
        <v>101</v>
      </c>
      <c r="N15" s="4" t="s">
        <v>29</v>
      </c>
      <c r="O15" s="16" t="s">
        <v>102</v>
      </c>
      <c r="P15" s="4" t="s">
        <v>103</v>
      </c>
      <c r="Q15" s="4" t="s">
        <v>32</v>
      </c>
    </row>
    <row r="16" ht="44" customHeight="1" spans="1:17">
      <c r="A16" s="4">
        <v>15</v>
      </c>
      <c r="B16" s="4" t="s">
        <v>104</v>
      </c>
      <c r="C16" s="4" t="s">
        <v>97</v>
      </c>
      <c r="D16" s="15" t="s">
        <v>105</v>
      </c>
      <c r="E16" s="4" t="s">
        <v>20</v>
      </c>
      <c r="F16" s="5" t="s">
        <v>21</v>
      </c>
      <c r="G16" s="5" t="s">
        <v>22</v>
      </c>
      <c r="H16" s="4" t="s">
        <v>106</v>
      </c>
      <c r="I16" s="4" t="s">
        <v>100</v>
      </c>
      <c r="J16" s="4" t="s">
        <v>25</v>
      </c>
      <c r="K16" s="4" t="s">
        <v>26</v>
      </c>
      <c r="L16" s="4" t="s">
        <v>27</v>
      </c>
      <c r="M16" s="4" t="s">
        <v>107</v>
      </c>
      <c r="N16" s="4" t="s">
        <v>29</v>
      </c>
      <c r="O16" s="16" t="s">
        <v>108</v>
      </c>
      <c r="P16" s="4" t="s">
        <v>103</v>
      </c>
      <c r="Q16" s="4" t="s">
        <v>32</v>
      </c>
    </row>
    <row r="17" ht="44" customHeight="1" spans="1:17">
      <c r="A17" s="4">
        <v>16</v>
      </c>
      <c r="B17" s="4" t="s">
        <v>109</v>
      </c>
      <c r="C17" s="4" t="s">
        <v>110</v>
      </c>
      <c r="D17" s="15" t="s">
        <v>111</v>
      </c>
      <c r="E17" s="4" t="s">
        <v>20</v>
      </c>
      <c r="F17" s="5" t="s">
        <v>21</v>
      </c>
      <c r="G17" s="5" t="s">
        <v>22</v>
      </c>
      <c r="H17" s="4" t="s">
        <v>112</v>
      </c>
      <c r="I17" s="4" t="s">
        <v>113</v>
      </c>
      <c r="J17" s="4" t="s">
        <v>25</v>
      </c>
      <c r="K17" s="4" t="s">
        <v>26</v>
      </c>
      <c r="L17" s="4" t="s">
        <v>27</v>
      </c>
      <c r="M17" s="4" t="s">
        <v>114</v>
      </c>
      <c r="N17" s="4" t="s">
        <v>29</v>
      </c>
      <c r="O17" s="16" t="s">
        <v>115</v>
      </c>
      <c r="P17" s="4" t="s">
        <v>116</v>
      </c>
      <c r="Q17" s="4" t="s">
        <v>32</v>
      </c>
    </row>
    <row r="18" ht="44" customHeight="1" spans="1:17">
      <c r="A18" s="4">
        <v>17</v>
      </c>
      <c r="B18" s="4" t="s">
        <v>117</v>
      </c>
      <c r="C18" s="4" t="s">
        <v>110</v>
      </c>
      <c r="D18" s="15" t="s">
        <v>118</v>
      </c>
      <c r="E18" s="4" t="s">
        <v>20</v>
      </c>
      <c r="F18" s="5" t="s">
        <v>21</v>
      </c>
      <c r="G18" s="5" t="s">
        <v>22</v>
      </c>
      <c r="H18" s="4" t="s">
        <v>119</v>
      </c>
      <c r="I18" s="4" t="s">
        <v>113</v>
      </c>
      <c r="J18" s="4" t="s">
        <v>25</v>
      </c>
      <c r="K18" s="4" t="s">
        <v>42</v>
      </c>
      <c r="L18" s="4" t="s">
        <v>27</v>
      </c>
      <c r="M18" s="4" t="s">
        <v>114</v>
      </c>
      <c r="N18" s="4" t="s">
        <v>29</v>
      </c>
      <c r="O18" s="16" t="s">
        <v>120</v>
      </c>
      <c r="P18" s="4" t="s">
        <v>116</v>
      </c>
      <c r="Q18" s="4" t="s">
        <v>32</v>
      </c>
    </row>
    <row r="19" ht="44" customHeight="1" spans="1:17">
      <c r="A19" s="4">
        <v>18</v>
      </c>
      <c r="B19" s="4" t="s">
        <v>121</v>
      </c>
      <c r="C19" s="4" t="s">
        <v>97</v>
      </c>
      <c r="D19" s="15" t="s">
        <v>122</v>
      </c>
      <c r="E19" s="4" t="s">
        <v>123</v>
      </c>
      <c r="F19" s="5" t="s">
        <v>21</v>
      </c>
      <c r="G19" s="5" t="s">
        <v>22</v>
      </c>
      <c r="H19" s="4" t="s">
        <v>124</v>
      </c>
      <c r="I19" s="4" t="s">
        <v>24</v>
      </c>
      <c r="J19" s="4" t="s">
        <v>25</v>
      </c>
      <c r="K19" s="4" t="s">
        <v>26</v>
      </c>
      <c r="L19" s="4" t="s">
        <v>27</v>
      </c>
      <c r="M19" s="4" t="s">
        <v>28</v>
      </c>
      <c r="N19" s="4" t="s">
        <v>29</v>
      </c>
      <c r="O19" s="16" t="s">
        <v>125</v>
      </c>
      <c r="P19" s="4" t="s">
        <v>126</v>
      </c>
      <c r="Q19" s="4" t="s">
        <v>32</v>
      </c>
    </row>
    <row r="20" ht="44" customHeight="1" spans="1:17">
      <c r="A20" s="4">
        <v>19</v>
      </c>
      <c r="B20" s="4" t="s">
        <v>127</v>
      </c>
      <c r="C20" s="4" t="s">
        <v>97</v>
      </c>
      <c r="D20" s="15" t="s">
        <v>128</v>
      </c>
      <c r="E20" s="4" t="s">
        <v>20</v>
      </c>
      <c r="F20" s="5" t="s">
        <v>21</v>
      </c>
      <c r="G20" s="5" t="s">
        <v>22</v>
      </c>
      <c r="H20" s="4" t="s">
        <v>129</v>
      </c>
      <c r="I20" s="4" t="s">
        <v>100</v>
      </c>
      <c r="J20" s="4" t="s">
        <v>25</v>
      </c>
      <c r="K20" s="4" t="s">
        <v>42</v>
      </c>
      <c r="L20" s="4" t="s">
        <v>27</v>
      </c>
      <c r="M20" s="4" t="s">
        <v>130</v>
      </c>
      <c r="N20" s="4" t="s">
        <v>29</v>
      </c>
      <c r="O20" s="16" t="s">
        <v>131</v>
      </c>
      <c r="P20" s="4" t="s">
        <v>103</v>
      </c>
      <c r="Q20" s="4" t="s">
        <v>32</v>
      </c>
    </row>
    <row r="21" ht="44" customHeight="1" spans="1:17">
      <c r="A21" s="4">
        <v>20</v>
      </c>
      <c r="B21" s="4" t="s">
        <v>132</v>
      </c>
      <c r="C21" s="4" t="s">
        <v>97</v>
      </c>
      <c r="D21" s="15" t="s">
        <v>133</v>
      </c>
      <c r="E21" s="4" t="s">
        <v>20</v>
      </c>
      <c r="F21" s="5" t="s">
        <v>21</v>
      </c>
      <c r="G21" s="5" t="s">
        <v>22</v>
      </c>
      <c r="H21" s="4" t="s">
        <v>134</v>
      </c>
      <c r="I21" s="4" t="s">
        <v>40</v>
      </c>
      <c r="J21" s="4" t="s">
        <v>41</v>
      </c>
      <c r="K21" s="4" t="s">
        <v>42</v>
      </c>
      <c r="L21" s="4" t="s">
        <v>27</v>
      </c>
      <c r="M21" s="4" t="s">
        <v>84</v>
      </c>
      <c r="N21" s="4" t="s">
        <v>29</v>
      </c>
      <c r="O21" s="16" t="s">
        <v>135</v>
      </c>
      <c r="P21" s="4" t="s">
        <v>136</v>
      </c>
      <c r="Q21" s="4" t="s">
        <v>46</v>
      </c>
    </row>
    <row r="22" ht="44" customHeight="1" spans="1:17">
      <c r="A22" s="4">
        <v>21</v>
      </c>
      <c r="B22" s="4" t="s">
        <v>137</v>
      </c>
      <c r="C22" s="4" t="s">
        <v>97</v>
      </c>
      <c r="D22" s="15" t="s">
        <v>138</v>
      </c>
      <c r="E22" s="4" t="s">
        <v>139</v>
      </c>
      <c r="F22" s="5" t="s">
        <v>140</v>
      </c>
      <c r="G22" s="5" t="s">
        <v>141</v>
      </c>
      <c r="H22" s="4" t="s">
        <v>142</v>
      </c>
      <c r="I22" s="4" t="s">
        <v>40</v>
      </c>
      <c r="J22" s="4" t="s">
        <v>143</v>
      </c>
      <c r="K22" s="4" t="s">
        <v>42</v>
      </c>
      <c r="L22" s="4" t="s">
        <v>27</v>
      </c>
      <c r="M22" s="4" t="s">
        <v>78</v>
      </c>
      <c r="N22" s="4" t="s">
        <v>29</v>
      </c>
      <c r="O22" s="16" t="s">
        <v>144</v>
      </c>
      <c r="P22" s="4" t="s">
        <v>136</v>
      </c>
      <c r="Q22" s="4" t="s">
        <v>46</v>
      </c>
    </row>
    <row r="23" ht="44" customHeight="1" spans="1:17">
      <c r="A23" s="4">
        <v>22</v>
      </c>
      <c r="B23" s="4" t="s">
        <v>145</v>
      </c>
      <c r="C23" s="4" t="s">
        <v>97</v>
      </c>
      <c r="D23" s="15" t="s">
        <v>146</v>
      </c>
      <c r="E23" s="4" t="s">
        <v>20</v>
      </c>
      <c r="F23" s="5" t="s">
        <v>21</v>
      </c>
      <c r="G23" s="5" t="s">
        <v>22</v>
      </c>
      <c r="H23" s="4" t="s">
        <v>147</v>
      </c>
      <c r="I23" s="4" t="s">
        <v>40</v>
      </c>
      <c r="J23" s="4" t="s">
        <v>41</v>
      </c>
      <c r="K23" s="4" t="s">
        <v>42</v>
      </c>
      <c r="L23" s="4" t="s">
        <v>27</v>
      </c>
      <c r="M23" s="4" t="s">
        <v>84</v>
      </c>
      <c r="N23" s="4" t="s">
        <v>29</v>
      </c>
      <c r="O23" s="16" t="s">
        <v>148</v>
      </c>
      <c r="P23" s="4" t="s">
        <v>136</v>
      </c>
      <c r="Q23" s="4" t="s">
        <v>46</v>
      </c>
    </row>
    <row r="24" ht="44" customHeight="1" spans="1:17">
      <c r="A24" s="4">
        <v>23</v>
      </c>
      <c r="B24" s="4" t="s">
        <v>149</v>
      </c>
      <c r="C24" s="4" t="s">
        <v>97</v>
      </c>
      <c r="D24" s="15" t="s">
        <v>150</v>
      </c>
      <c r="E24" s="4" t="s">
        <v>151</v>
      </c>
      <c r="F24" s="5" t="s">
        <v>152</v>
      </c>
      <c r="G24" s="5" t="s">
        <v>153</v>
      </c>
      <c r="H24" s="4" t="s">
        <v>154</v>
      </c>
      <c r="I24" s="4" t="s">
        <v>155</v>
      </c>
      <c r="J24" s="4" t="s">
        <v>25</v>
      </c>
      <c r="K24" s="4" t="s">
        <v>42</v>
      </c>
      <c r="L24" s="4" t="s">
        <v>27</v>
      </c>
      <c r="M24" s="4" t="s">
        <v>156</v>
      </c>
      <c r="N24" s="4" t="s">
        <v>29</v>
      </c>
      <c r="O24" s="16" t="s">
        <v>157</v>
      </c>
      <c r="P24" s="4" t="s">
        <v>158</v>
      </c>
      <c r="Q24" s="4" t="s">
        <v>32</v>
      </c>
    </row>
    <row r="25" ht="44" customHeight="1" spans="1:17">
      <c r="A25" s="4">
        <v>24</v>
      </c>
      <c r="B25" s="4" t="s">
        <v>159</v>
      </c>
      <c r="C25" s="4" t="s">
        <v>97</v>
      </c>
      <c r="D25" s="15" t="s">
        <v>160</v>
      </c>
      <c r="E25" s="4" t="s">
        <v>20</v>
      </c>
      <c r="F25" s="5" t="s">
        <v>21</v>
      </c>
      <c r="G25" s="5" t="s">
        <v>22</v>
      </c>
      <c r="H25" s="4" t="s">
        <v>161</v>
      </c>
      <c r="I25" s="4" t="s">
        <v>40</v>
      </c>
      <c r="J25" s="4" t="s">
        <v>41</v>
      </c>
      <c r="K25" s="4" t="s">
        <v>26</v>
      </c>
      <c r="L25" s="4" t="s">
        <v>27</v>
      </c>
      <c r="M25" s="4" t="s">
        <v>84</v>
      </c>
      <c r="N25" s="4" t="s">
        <v>29</v>
      </c>
      <c r="O25" s="16" t="s">
        <v>162</v>
      </c>
      <c r="P25" s="4" t="s">
        <v>136</v>
      </c>
      <c r="Q25" s="4" t="s">
        <v>46</v>
      </c>
    </row>
    <row r="26" ht="44" customHeight="1" spans="1:17">
      <c r="A26" s="4">
        <v>25</v>
      </c>
      <c r="B26" s="4" t="s">
        <v>163</v>
      </c>
      <c r="C26" s="4" t="s">
        <v>97</v>
      </c>
      <c r="D26" s="15" t="s">
        <v>164</v>
      </c>
      <c r="E26" s="4" t="s">
        <v>20</v>
      </c>
      <c r="F26" s="5" t="s">
        <v>21</v>
      </c>
      <c r="G26" s="5" t="s">
        <v>22</v>
      </c>
      <c r="H26" s="4" t="s">
        <v>165</v>
      </c>
      <c r="I26" s="4" t="s">
        <v>40</v>
      </c>
      <c r="J26" s="4" t="s">
        <v>41</v>
      </c>
      <c r="K26" s="4" t="s">
        <v>42</v>
      </c>
      <c r="L26" s="4" t="s">
        <v>27</v>
      </c>
      <c r="M26" s="4" t="s">
        <v>84</v>
      </c>
      <c r="N26" s="4" t="s">
        <v>29</v>
      </c>
      <c r="O26" s="16" t="s">
        <v>166</v>
      </c>
      <c r="P26" s="4" t="s">
        <v>136</v>
      </c>
      <c r="Q26" s="4" t="s">
        <v>46</v>
      </c>
    </row>
    <row r="27" ht="44" customHeight="1" spans="1:17">
      <c r="A27" s="4">
        <v>26</v>
      </c>
      <c r="B27" s="4" t="s">
        <v>167</v>
      </c>
      <c r="C27" s="4" t="s">
        <v>168</v>
      </c>
      <c r="D27" s="15" t="s">
        <v>169</v>
      </c>
      <c r="E27" s="4" t="s">
        <v>20</v>
      </c>
      <c r="F27" s="5" t="s">
        <v>21</v>
      </c>
      <c r="G27" s="5" t="s">
        <v>22</v>
      </c>
      <c r="H27" s="4" t="s">
        <v>170</v>
      </c>
      <c r="I27" s="4" t="s">
        <v>113</v>
      </c>
      <c r="J27" s="4" t="s">
        <v>25</v>
      </c>
      <c r="K27" s="4" t="s">
        <v>42</v>
      </c>
      <c r="L27" s="4" t="s">
        <v>27</v>
      </c>
      <c r="M27" s="4" t="s">
        <v>171</v>
      </c>
      <c r="N27" s="4" t="s">
        <v>29</v>
      </c>
      <c r="O27" s="16" t="s">
        <v>172</v>
      </c>
      <c r="P27" s="4" t="s">
        <v>173</v>
      </c>
      <c r="Q27" s="4" t="s">
        <v>32</v>
      </c>
    </row>
    <row r="28" ht="44" customHeight="1" spans="1:17">
      <c r="A28" s="4">
        <v>27</v>
      </c>
      <c r="B28" s="4" t="s">
        <v>174</v>
      </c>
      <c r="C28" s="4" t="s">
        <v>168</v>
      </c>
      <c r="D28" s="15" t="s">
        <v>175</v>
      </c>
      <c r="E28" s="4" t="s">
        <v>20</v>
      </c>
      <c r="F28" s="5" t="s">
        <v>21</v>
      </c>
      <c r="G28" s="5" t="s">
        <v>22</v>
      </c>
      <c r="H28" s="4" t="s">
        <v>176</v>
      </c>
      <c r="I28" s="4" t="s">
        <v>100</v>
      </c>
      <c r="J28" s="4" t="s">
        <v>25</v>
      </c>
      <c r="K28" s="4" t="s">
        <v>42</v>
      </c>
      <c r="L28" s="4" t="s">
        <v>27</v>
      </c>
      <c r="M28" s="4" t="s">
        <v>101</v>
      </c>
      <c r="N28" s="4" t="s">
        <v>29</v>
      </c>
      <c r="O28" s="16" t="s">
        <v>177</v>
      </c>
      <c r="P28" s="4" t="s">
        <v>178</v>
      </c>
      <c r="Q28" s="4" t="s">
        <v>32</v>
      </c>
    </row>
    <row r="29" ht="44" customHeight="1" spans="1:17">
      <c r="A29" s="4">
        <v>28</v>
      </c>
      <c r="B29" s="4" t="s">
        <v>179</v>
      </c>
      <c r="C29" s="4" t="s">
        <v>168</v>
      </c>
      <c r="D29" s="15" t="s">
        <v>180</v>
      </c>
      <c r="E29" s="4" t="s">
        <v>20</v>
      </c>
      <c r="F29" s="5" t="s">
        <v>21</v>
      </c>
      <c r="G29" s="5" t="s">
        <v>22</v>
      </c>
      <c r="H29" s="4" t="s">
        <v>181</v>
      </c>
      <c r="I29" s="4" t="s">
        <v>100</v>
      </c>
      <c r="J29" s="4" t="s">
        <v>25</v>
      </c>
      <c r="K29" s="4" t="s">
        <v>42</v>
      </c>
      <c r="L29" s="4" t="s">
        <v>27</v>
      </c>
      <c r="M29" s="4" t="s">
        <v>107</v>
      </c>
      <c r="N29" s="4" t="s">
        <v>29</v>
      </c>
      <c r="O29" s="16" t="s">
        <v>182</v>
      </c>
      <c r="P29" s="4" t="s">
        <v>178</v>
      </c>
      <c r="Q29" s="4" t="s">
        <v>32</v>
      </c>
    </row>
    <row r="30" ht="44" customHeight="1" spans="1:17">
      <c r="A30" s="4">
        <v>29</v>
      </c>
      <c r="B30" s="4" t="s">
        <v>183</v>
      </c>
      <c r="C30" s="4" t="s">
        <v>110</v>
      </c>
      <c r="D30" s="15" t="s">
        <v>184</v>
      </c>
      <c r="E30" s="4" t="s">
        <v>20</v>
      </c>
      <c r="F30" s="5" t="s">
        <v>21</v>
      </c>
      <c r="G30" s="5" t="s">
        <v>22</v>
      </c>
      <c r="H30" s="4" t="s">
        <v>185</v>
      </c>
      <c r="I30" s="4" t="s">
        <v>113</v>
      </c>
      <c r="J30" s="4" t="s">
        <v>25</v>
      </c>
      <c r="K30" s="4" t="s">
        <v>26</v>
      </c>
      <c r="L30" s="4" t="s">
        <v>27</v>
      </c>
      <c r="M30" s="4" t="s">
        <v>186</v>
      </c>
      <c r="N30" s="4" t="s">
        <v>29</v>
      </c>
      <c r="O30" s="16" t="s">
        <v>187</v>
      </c>
      <c r="P30" s="4" t="s">
        <v>173</v>
      </c>
      <c r="Q30" s="4" t="s">
        <v>32</v>
      </c>
    </row>
    <row r="31" ht="44" customHeight="1" spans="1:17">
      <c r="A31" s="4">
        <v>30</v>
      </c>
      <c r="B31" s="4" t="s">
        <v>188</v>
      </c>
      <c r="C31" s="4" t="s">
        <v>168</v>
      </c>
      <c r="D31" s="15" t="s">
        <v>189</v>
      </c>
      <c r="E31" s="4" t="s">
        <v>20</v>
      </c>
      <c r="F31" s="5" t="s">
        <v>21</v>
      </c>
      <c r="G31" s="5" t="s">
        <v>22</v>
      </c>
      <c r="H31" s="4" t="s">
        <v>190</v>
      </c>
      <c r="I31" s="4" t="s">
        <v>100</v>
      </c>
      <c r="J31" s="4" t="s">
        <v>25</v>
      </c>
      <c r="K31" s="4" t="s">
        <v>42</v>
      </c>
      <c r="L31" s="4" t="s">
        <v>27</v>
      </c>
      <c r="M31" s="4" t="s">
        <v>107</v>
      </c>
      <c r="N31" s="4" t="s">
        <v>29</v>
      </c>
      <c r="O31" s="16" t="s">
        <v>191</v>
      </c>
      <c r="P31" s="4" t="s">
        <v>178</v>
      </c>
      <c r="Q31" s="4" t="s">
        <v>32</v>
      </c>
    </row>
    <row r="32" ht="44" customHeight="1" spans="1:17">
      <c r="A32" s="4">
        <v>31</v>
      </c>
      <c r="B32" s="4" t="s">
        <v>192</v>
      </c>
      <c r="C32" s="4" t="s">
        <v>168</v>
      </c>
      <c r="D32" s="15" t="s">
        <v>193</v>
      </c>
      <c r="E32" s="4" t="s">
        <v>194</v>
      </c>
      <c r="F32" s="5" t="s">
        <v>21</v>
      </c>
      <c r="G32" s="5" t="s">
        <v>22</v>
      </c>
      <c r="H32" s="4" t="s">
        <v>195</v>
      </c>
      <c r="I32" s="4" t="s">
        <v>40</v>
      </c>
      <c r="J32" s="4" t="s">
        <v>41</v>
      </c>
      <c r="K32" s="4" t="s">
        <v>42</v>
      </c>
      <c r="L32" s="4" t="s">
        <v>27</v>
      </c>
      <c r="M32" s="4" t="s">
        <v>78</v>
      </c>
      <c r="N32" s="4" t="s">
        <v>29</v>
      </c>
      <c r="O32" s="16" t="s">
        <v>196</v>
      </c>
      <c r="P32" s="4" t="s">
        <v>197</v>
      </c>
      <c r="Q32" s="4" t="s">
        <v>46</v>
      </c>
    </row>
    <row r="33" ht="44" customHeight="1" spans="1:17">
      <c r="A33" s="4">
        <v>32</v>
      </c>
      <c r="B33" s="4" t="s">
        <v>198</v>
      </c>
      <c r="C33" s="4" t="s">
        <v>168</v>
      </c>
      <c r="D33" s="15" t="s">
        <v>199</v>
      </c>
      <c r="E33" s="4" t="s">
        <v>20</v>
      </c>
      <c r="F33" s="5" t="s">
        <v>21</v>
      </c>
      <c r="G33" s="5" t="s">
        <v>22</v>
      </c>
      <c r="H33" s="4" t="s">
        <v>200</v>
      </c>
      <c r="I33" s="4" t="s">
        <v>201</v>
      </c>
      <c r="J33" s="4" t="s">
        <v>25</v>
      </c>
      <c r="K33" s="4" t="s">
        <v>42</v>
      </c>
      <c r="L33" s="4" t="s">
        <v>27</v>
      </c>
      <c r="M33" s="4" t="s">
        <v>186</v>
      </c>
      <c r="N33" s="4" t="s">
        <v>29</v>
      </c>
      <c r="O33" s="16" t="s">
        <v>202</v>
      </c>
      <c r="P33" s="4" t="s">
        <v>203</v>
      </c>
      <c r="Q33" s="4" t="s">
        <v>32</v>
      </c>
    </row>
    <row r="34" ht="44" customHeight="1" spans="1:17">
      <c r="A34" s="4">
        <v>33</v>
      </c>
      <c r="B34" s="4" t="s">
        <v>204</v>
      </c>
      <c r="C34" s="4" t="s">
        <v>168</v>
      </c>
      <c r="D34" s="15" t="s">
        <v>205</v>
      </c>
      <c r="E34" s="4" t="s">
        <v>20</v>
      </c>
      <c r="F34" s="5" t="s">
        <v>21</v>
      </c>
      <c r="G34" s="5" t="s">
        <v>22</v>
      </c>
      <c r="H34" s="4" t="s">
        <v>206</v>
      </c>
      <c r="I34" s="4" t="s">
        <v>40</v>
      </c>
      <c r="J34" s="4" t="s">
        <v>41</v>
      </c>
      <c r="K34" s="4" t="s">
        <v>42</v>
      </c>
      <c r="L34" s="4" t="s">
        <v>27</v>
      </c>
      <c r="M34" s="4" t="s">
        <v>78</v>
      </c>
      <c r="N34" s="4" t="s">
        <v>29</v>
      </c>
      <c r="O34" s="16" t="s">
        <v>207</v>
      </c>
      <c r="P34" s="4" t="s">
        <v>197</v>
      </c>
      <c r="Q34" s="4" t="s">
        <v>46</v>
      </c>
    </row>
    <row r="35" ht="44" customHeight="1" spans="1:17">
      <c r="A35" s="4">
        <v>34</v>
      </c>
      <c r="B35" s="4" t="s">
        <v>208</v>
      </c>
      <c r="C35" s="4" t="s">
        <v>168</v>
      </c>
      <c r="D35" s="15" t="s">
        <v>209</v>
      </c>
      <c r="E35" s="4" t="s">
        <v>20</v>
      </c>
      <c r="F35" s="5" t="s">
        <v>21</v>
      </c>
      <c r="G35" s="5" t="s">
        <v>22</v>
      </c>
      <c r="H35" s="4" t="s">
        <v>210</v>
      </c>
      <c r="I35" s="4" t="s">
        <v>40</v>
      </c>
      <c r="J35" s="4" t="s">
        <v>41</v>
      </c>
      <c r="K35" s="4" t="s">
        <v>42</v>
      </c>
      <c r="L35" s="4" t="s">
        <v>27</v>
      </c>
      <c r="M35" s="4" t="s">
        <v>78</v>
      </c>
      <c r="N35" s="4" t="s">
        <v>29</v>
      </c>
      <c r="O35" s="16" t="s">
        <v>211</v>
      </c>
      <c r="P35" s="4" t="s">
        <v>197</v>
      </c>
      <c r="Q35" s="4" t="s">
        <v>46</v>
      </c>
    </row>
    <row r="36" ht="44" customHeight="1" spans="1:17">
      <c r="A36" s="4">
        <v>35</v>
      </c>
      <c r="B36" s="4" t="s">
        <v>212</v>
      </c>
      <c r="C36" s="4" t="s">
        <v>168</v>
      </c>
      <c r="D36" s="15" t="s">
        <v>213</v>
      </c>
      <c r="E36" s="4" t="s">
        <v>214</v>
      </c>
      <c r="F36" s="5" t="s">
        <v>21</v>
      </c>
      <c r="G36" s="5" t="s">
        <v>22</v>
      </c>
      <c r="H36" s="4" t="s">
        <v>215</v>
      </c>
      <c r="I36" s="4" t="s">
        <v>40</v>
      </c>
      <c r="J36" s="4" t="s">
        <v>41</v>
      </c>
      <c r="K36" s="4" t="s">
        <v>42</v>
      </c>
      <c r="L36" s="4" t="s">
        <v>27</v>
      </c>
      <c r="M36" s="4" t="s">
        <v>78</v>
      </c>
      <c r="N36" s="4" t="s">
        <v>29</v>
      </c>
      <c r="O36" s="16" t="s">
        <v>216</v>
      </c>
      <c r="P36" s="4" t="s">
        <v>197</v>
      </c>
      <c r="Q36" s="4" t="s">
        <v>46</v>
      </c>
    </row>
    <row r="37" ht="44" customHeight="1" spans="1:17">
      <c r="A37" s="4">
        <v>36</v>
      </c>
      <c r="B37" s="4" t="s">
        <v>217</v>
      </c>
      <c r="C37" s="4" t="s">
        <v>168</v>
      </c>
      <c r="D37" s="15" t="s">
        <v>218</v>
      </c>
      <c r="E37" s="4" t="s">
        <v>20</v>
      </c>
      <c r="F37" s="5" t="s">
        <v>21</v>
      </c>
      <c r="G37" s="5" t="s">
        <v>22</v>
      </c>
      <c r="H37" s="4" t="s">
        <v>219</v>
      </c>
      <c r="I37" s="4" t="s">
        <v>40</v>
      </c>
      <c r="J37" s="4" t="s">
        <v>41</v>
      </c>
      <c r="K37" s="4" t="s">
        <v>42</v>
      </c>
      <c r="L37" s="4" t="s">
        <v>27</v>
      </c>
      <c r="M37" s="4" t="s">
        <v>65</v>
      </c>
      <c r="N37" s="4" t="s">
        <v>29</v>
      </c>
      <c r="O37" s="16" t="s">
        <v>220</v>
      </c>
      <c r="P37" s="4" t="s">
        <v>197</v>
      </c>
      <c r="Q37" s="4" t="s">
        <v>46</v>
      </c>
    </row>
    <row r="38" ht="44" customHeight="1" spans="1:17">
      <c r="A38" s="4">
        <v>37</v>
      </c>
      <c r="B38" s="4" t="s">
        <v>221</v>
      </c>
      <c r="C38" s="4" t="s">
        <v>168</v>
      </c>
      <c r="D38" s="15" t="s">
        <v>222</v>
      </c>
      <c r="E38" s="4" t="s">
        <v>20</v>
      </c>
      <c r="F38" s="5" t="s">
        <v>21</v>
      </c>
      <c r="G38" s="5" t="s">
        <v>22</v>
      </c>
      <c r="H38" s="4" t="s">
        <v>223</v>
      </c>
      <c r="I38" s="4" t="s">
        <v>40</v>
      </c>
      <c r="J38" s="4" t="s">
        <v>41</v>
      </c>
      <c r="K38" s="4" t="s">
        <v>42</v>
      </c>
      <c r="L38" s="4" t="s">
        <v>27</v>
      </c>
      <c r="M38" s="4" t="s">
        <v>224</v>
      </c>
      <c r="N38" s="4" t="s">
        <v>29</v>
      </c>
      <c r="O38" s="16" t="s">
        <v>225</v>
      </c>
      <c r="P38" s="4" t="s">
        <v>197</v>
      </c>
      <c r="Q38" s="4" t="s">
        <v>46</v>
      </c>
    </row>
    <row r="39" ht="44" customHeight="1" spans="1:17">
      <c r="A39" s="4">
        <v>38</v>
      </c>
      <c r="B39" s="4" t="s">
        <v>226</v>
      </c>
      <c r="C39" s="4" t="s">
        <v>168</v>
      </c>
      <c r="D39" s="15" t="s">
        <v>227</v>
      </c>
      <c r="E39" s="4" t="s">
        <v>228</v>
      </c>
      <c r="F39" s="5" t="s">
        <v>152</v>
      </c>
      <c r="G39" s="5" t="s">
        <v>153</v>
      </c>
      <c r="H39" s="4" t="s">
        <v>229</v>
      </c>
      <c r="I39" s="4" t="s">
        <v>40</v>
      </c>
      <c r="J39" s="4" t="s">
        <v>230</v>
      </c>
      <c r="K39" s="4" t="s">
        <v>42</v>
      </c>
      <c r="L39" s="4" t="s">
        <v>27</v>
      </c>
      <c r="M39" s="4" t="s">
        <v>65</v>
      </c>
      <c r="N39" s="4" t="s">
        <v>29</v>
      </c>
      <c r="O39" s="16" t="s">
        <v>231</v>
      </c>
      <c r="P39" s="4" t="s">
        <v>197</v>
      </c>
      <c r="Q39" s="4" t="s">
        <v>46</v>
      </c>
    </row>
    <row r="40" ht="44" customHeight="1" spans="1:17">
      <c r="A40" s="4">
        <v>39</v>
      </c>
      <c r="B40" s="4" t="s">
        <v>232</v>
      </c>
      <c r="C40" s="4" t="s">
        <v>168</v>
      </c>
      <c r="D40" s="15" t="s">
        <v>233</v>
      </c>
      <c r="E40" s="4" t="s">
        <v>20</v>
      </c>
      <c r="F40" s="5" t="s">
        <v>21</v>
      </c>
      <c r="G40" s="5" t="s">
        <v>22</v>
      </c>
      <c r="H40" s="4" t="s">
        <v>234</v>
      </c>
      <c r="I40" s="4" t="s">
        <v>40</v>
      </c>
      <c r="J40" s="4" t="s">
        <v>41</v>
      </c>
      <c r="K40" s="4" t="s">
        <v>42</v>
      </c>
      <c r="L40" s="4" t="s">
        <v>27</v>
      </c>
      <c r="M40" s="4" t="s">
        <v>84</v>
      </c>
      <c r="N40" s="4" t="s">
        <v>29</v>
      </c>
      <c r="O40" s="16" t="s">
        <v>235</v>
      </c>
      <c r="P40" s="4" t="s">
        <v>197</v>
      </c>
      <c r="Q40" s="4" t="s">
        <v>46</v>
      </c>
    </row>
    <row r="41" ht="44" customHeight="1" spans="1:17">
      <c r="A41" s="4">
        <v>40</v>
      </c>
      <c r="B41" s="4" t="s">
        <v>236</v>
      </c>
      <c r="C41" s="4" t="s">
        <v>18</v>
      </c>
      <c r="D41" s="15" t="s">
        <v>237</v>
      </c>
      <c r="E41" s="4" t="s">
        <v>20</v>
      </c>
      <c r="F41" s="5" t="s">
        <v>21</v>
      </c>
      <c r="G41" s="5" t="s">
        <v>22</v>
      </c>
      <c r="H41" s="4" t="s">
        <v>238</v>
      </c>
      <c r="I41" s="4" t="s">
        <v>24</v>
      </c>
      <c r="J41" s="4" t="s">
        <v>25</v>
      </c>
      <c r="K41" s="4" t="s">
        <v>42</v>
      </c>
      <c r="L41" s="4" t="s">
        <v>27</v>
      </c>
      <c r="M41" s="4" t="s">
        <v>28</v>
      </c>
      <c r="N41" s="4" t="s">
        <v>29</v>
      </c>
      <c r="O41" s="16" t="s">
        <v>239</v>
      </c>
      <c r="P41" s="4" t="s">
        <v>240</v>
      </c>
      <c r="Q41" s="4" t="s">
        <v>32</v>
      </c>
    </row>
    <row r="42" ht="44" customHeight="1" spans="1:17">
      <c r="A42" s="4">
        <v>41</v>
      </c>
      <c r="B42" s="4" t="s">
        <v>241</v>
      </c>
      <c r="C42" s="4" t="s">
        <v>18</v>
      </c>
      <c r="D42" s="15" t="s">
        <v>242</v>
      </c>
      <c r="E42" s="4" t="s">
        <v>139</v>
      </c>
      <c r="F42" s="5" t="s">
        <v>140</v>
      </c>
      <c r="G42" s="5" t="s">
        <v>141</v>
      </c>
      <c r="H42" s="4" t="s">
        <v>243</v>
      </c>
      <c r="I42" s="4" t="s">
        <v>24</v>
      </c>
      <c r="J42" s="4" t="s">
        <v>25</v>
      </c>
      <c r="K42" s="4" t="s">
        <v>42</v>
      </c>
      <c r="L42" s="4" t="s">
        <v>27</v>
      </c>
      <c r="M42" s="4" t="s">
        <v>244</v>
      </c>
      <c r="N42" s="4" t="s">
        <v>29</v>
      </c>
      <c r="O42" s="16" t="s">
        <v>245</v>
      </c>
      <c r="P42" s="4" t="s">
        <v>240</v>
      </c>
      <c r="Q42" s="4" t="s">
        <v>32</v>
      </c>
    </row>
    <row r="43" ht="44" customHeight="1" spans="1:17">
      <c r="A43" s="4">
        <v>42</v>
      </c>
      <c r="B43" s="4" t="s">
        <v>246</v>
      </c>
      <c r="C43" s="4" t="s">
        <v>110</v>
      </c>
      <c r="D43" s="15" t="s">
        <v>247</v>
      </c>
      <c r="E43" s="4" t="s">
        <v>20</v>
      </c>
      <c r="F43" s="5" t="s">
        <v>21</v>
      </c>
      <c r="G43" s="5" t="s">
        <v>22</v>
      </c>
      <c r="H43" s="4" t="s">
        <v>248</v>
      </c>
      <c r="I43" s="4" t="s">
        <v>113</v>
      </c>
      <c r="J43" s="4" t="s">
        <v>25</v>
      </c>
      <c r="K43" s="4" t="s">
        <v>26</v>
      </c>
      <c r="L43" s="4" t="s">
        <v>27</v>
      </c>
      <c r="M43" s="4" t="s">
        <v>186</v>
      </c>
      <c r="N43" s="4" t="s">
        <v>29</v>
      </c>
      <c r="O43" s="16" t="s">
        <v>249</v>
      </c>
      <c r="P43" s="4" t="s">
        <v>250</v>
      </c>
      <c r="Q43" s="4" t="s">
        <v>32</v>
      </c>
    </row>
    <row r="44" ht="44" customHeight="1" spans="1:17">
      <c r="A44" s="4">
        <v>43</v>
      </c>
      <c r="B44" s="4" t="s">
        <v>251</v>
      </c>
      <c r="C44" s="4" t="s">
        <v>252</v>
      </c>
      <c r="D44" s="15" t="s">
        <v>253</v>
      </c>
      <c r="E44" s="4" t="s">
        <v>20</v>
      </c>
      <c r="F44" s="5" t="s">
        <v>21</v>
      </c>
      <c r="G44" s="5" t="s">
        <v>22</v>
      </c>
      <c r="H44" s="4" t="s">
        <v>254</v>
      </c>
      <c r="I44" s="4" t="s">
        <v>201</v>
      </c>
      <c r="J44" s="4" t="s">
        <v>25</v>
      </c>
      <c r="K44" s="4" t="s">
        <v>42</v>
      </c>
      <c r="L44" s="4" t="s">
        <v>27</v>
      </c>
      <c r="M44" s="4" t="s">
        <v>186</v>
      </c>
      <c r="N44" s="4" t="s">
        <v>29</v>
      </c>
      <c r="O44" s="16" t="s">
        <v>255</v>
      </c>
      <c r="P44" s="4" t="s">
        <v>256</v>
      </c>
      <c r="Q44" s="4" t="s">
        <v>32</v>
      </c>
    </row>
    <row r="45" ht="44" customHeight="1" spans="1:17">
      <c r="A45" s="4">
        <v>44</v>
      </c>
      <c r="B45" s="4" t="s">
        <v>257</v>
      </c>
      <c r="C45" s="4" t="s">
        <v>252</v>
      </c>
      <c r="D45" s="15" t="s">
        <v>258</v>
      </c>
      <c r="E45" s="4" t="s">
        <v>20</v>
      </c>
      <c r="F45" s="5" t="s">
        <v>21</v>
      </c>
      <c r="G45" s="5" t="s">
        <v>22</v>
      </c>
      <c r="H45" s="4" t="s">
        <v>259</v>
      </c>
      <c r="I45" s="4" t="s">
        <v>201</v>
      </c>
      <c r="J45" s="4" t="s">
        <v>25</v>
      </c>
      <c r="K45" s="4" t="s">
        <v>42</v>
      </c>
      <c r="L45" s="4" t="s">
        <v>27</v>
      </c>
      <c r="M45" s="4" t="s">
        <v>260</v>
      </c>
      <c r="N45" s="4" t="s">
        <v>29</v>
      </c>
      <c r="O45" s="16" t="s">
        <v>261</v>
      </c>
      <c r="P45" s="4" t="s">
        <v>256</v>
      </c>
      <c r="Q45" s="4" t="s">
        <v>32</v>
      </c>
    </row>
    <row r="46" ht="44" customHeight="1" spans="1:17">
      <c r="A46" s="4">
        <v>45</v>
      </c>
      <c r="B46" s="4" t="s">
        <v>262</v>
      </c>
      <c r="C46" s="4" t="s">
        <v>252</v>
      </c>
      <c r="D46" s="15" t="s">
        <v>263</v>
      </c>
      <c r="E46" s="4" t="s">
        <v>264</v>
      </c>
      <c r="F46" s="5" t="s">
        <v>21</v>
      </c>
      <c r="G46" s="5" t="s">
        <v>22</v>
      </c>
      <c r="H46" s="4" t="s">
        <v>265</v>
      </c>
      <c r="I46" s="4" t="s">
        <v>40</v>
      </c>
      <c r="J46" s="4" t="s">
        <v>41</v>
      </c>
      <c r="K46" s="4" t="s">
        <v>26</v>
      </c>
      <c r="L46" s="4" t="s">
        <v>27</v>
      </c>
      <c r="M46" s="4" t="s">
        <v>84</v>
      </c>
      <c r="N46" s="4" t="s">
        <v>29</v>
      </c>
      <c r="O46" s="16" t="s">
        <v>266</v>
      </c>
      <c r="P46" s="4" t="s">
        <v>267</v>
      </c>
      <c r="Q46" s="4" t="s">
        <v>46</v>
      </c>
    </row>
    <row r="47" ht="44" customHeight="1" spans="1:17">
      <c r="A47" s="4">
        <v>46</v>
      </c>
      <c r="B47" s="4" t="s">
        <v>268</v>
      </c>
      <c r="C47" s="4" t="s">
        <v>110</v>
      </c>
      <c r="D47" s="15" t="s">
        <v>269</v>
      </c>
      <c r="E47" s="4" t="s">
        <v>20</v>
      </c>
      <c r="F47" s="5" t="s">
        <v>21</v>
      </c>
      <c r="G47" s="5" t="s">
        <v>22</v>
      </c>
      <c r="H47" s="4" t="s">
        <v>270</v>
      </c>
      <c r="I47" s="4" t="s">
        <v>113</v>
      </c>
      <c r="J47" s="4" t="s">
        <v>25</v>
      </c>
      <c r="K47" s="4" t="s">
        <v>26</v>
      </c>
      <c r="L47" s="4" t="s">
        <v>27</v>
      </c>
      <c r="M47" s="4" t="s">
        <v>186</v>
      </c>
      <c r="N47" s="4" t="s">
        <v>29</v>
      </c>
      <c r="O47" s="16" t="s">
        <v>271</v>
      </c>
      <c r="P47" s="4" t="s">
        <v>250</v>
      </c>
      <c r="Q47" s="4" t="s">
        <v>32</v>
      </c>
    </row>
    <row r="48" ht="44" customHeight="1" spans="1:17">
      <c r="A48" s="4">
        <v>47</v>
      </c>
      <c r="B48" s="4" t="s">
        <v>272</v>
      </c>
      <c r="C48" s="4" t="s">
        <v>110</v>
      </c>
      <c r="D48" s="15" t="s">
        <v>273</v>
      </c>
      <c r="E48" s="4" t="s">
        <v>139</v>
      </c>
      <c r="F48" s="5" t="s">
        <v>140</v>
      </c>
      <c r="G48" s="5" t="s">
        <v>141</v>
      </c>
      <c r="H48" s="4" t="s">
        <v>274</v>
      </c>
      <c r="I48" s="4" t="s">
        <v>113</v>
      </c>
      <c r="J48" s="4" t="s">
        <v>25</v>
      </c>
      <c r="K48" s="4" t="s">
        <v>42</v>
      </c>
      <c r="L48" s="4" t="s">
        <v>27</v>
      </c>
      <c r="M48" s="4" t="s">
        <v>186</v>
      </c>
      <c r="N48" s="4" t="s">
        <v>29</v>
      </c>
      <c r="O48" s="16" t="s">
        <v>275</v>
      </c>
      <c r="P48" s="4" t="s">
        <v>250</v>
      </c>
      <c r="Q48" s="4" t="s">
        <v>32</v>
      </c>
    </row>
    <row r="49" ht="44" customHeight="1" spans="1:17">
      <c r="A49" s="4">
        <v>48</v>
      </c>
      <c r="B49" s="4" t="s">
        <v>276</v>
      </c>
      <c r="C49" s="4" t="s">
        <v>110</v>
      </c>
      <c r="D49" s="15" t="s">
        <v>277</v>
      </c>
      <c r="E49" s="4" t="s">
        <v>151</v>
      </c>
      <c r="F49" s="5" t="s">
        <v>152</v>
      </c>
      <c r="G49" s="5" t="s">
        <v>153</v>
      </c>
      <c r="H49" s="4" t="s">
        <v>278</v>
      </c>
      <c r="I49" s="4" t="s">
        <v>113</v>
      </c>
      <c r="J49" s="4" t="s">
        <v>25</v>
      </c>
      <c r="K49" s="4" t="s">
        <v>42</v>
      </c>
      <c r="L49" s="4" t="s">
        <v>27</v>
      </c>
      <c r="M49" s="4" t="s">
        <v>260</v>
      </c>
      <c r="N49" s="4" t="s">
        <v>29</v>
      </c>
      <c r="O49" s="16" t="s">
        <v>279</v>
      </c>
      <c r="P49" s="4" t="s">
        <v>250</v>
      </c>
      <c r="Q49" s="4" t="s">
        <v>32</v>
      </c>
    </row>
    <row r="50" ht="44" customHeight="1" spans="1:17">
      <c r="A50" s="4">
        <v>49</v>
      </c>
      <c r="B50" s="4" t="s">
        <v>280</v>
      </c>
      <c r="C50" s="4" t="s">
        <v>252</v>
      </c>
      <c r="D50" s="15" t="s">
        <v>281</v>
      </c>
      <c r="E50" s="4" t="s">
        <v>20</v>
      </c>
      <c r="F50" s="5" t="s">
        <v>21</v>
      </c>
      <c r="G50" s="5" t="s">
        <v>22</v>
      </c>
      <c r="H50" s="4" t="s">
        <v>282</v>
      </c>
      <c r="I50" s="4" t="s">
        <v>40</v>
      </c>
      <c r="J50" s="4" t="s">
        <v>41</v>
      </c>
      <c r="K50" s="4" t="s">
        <v>42</v>
      </c>
      <c r="L50" s="4" t="s">
        <v>27</v>
      </c>
      <c r="M50" s="4" t="s">
        <v>78</v>
      </c>
      <c r="N50" s="4" t="s">
        <v>29</v>
      </c>
      <c r="O50" s="16" t="s">
        <v>283</v>
      </c>
      <c r="P50" s="4" t="s">
        <v>267</v>
      </c>
      <c r="Q50" s="4" t="s">
        <v>46</v>
      </c>
    </row>
    <row r="51" ht="44" customHeight="1" spans="1:17">
      <c r="A51" s="4">
        <v>50</v>
      </c>
      <c r="B51" s="4" t="s">
        <v>284</v>
      </c>
      <c r="C51" s="4" t="s">
        <v>252</v>
      </c>
      <c r="D51" s="15" t="s">
        <v>285</v>
      </c>
      <c r="E51" s="4" t="s">
        <v>20</v>
      </c>
      <c r="F51" s="5" t="s">
        <v>21</v>
      </c>
      <c r="G51" s="5" t="s">
        <v>22</v>
      </c>
      <c r="H51" s="4" t="s">
        <v>286</v>
      </c>
      <c r="I51" s="4" t="s">
        <v>201</v>
      </c>
      <c r="J51" s="4" t="s">
        <v>25</v>
      </c>
      <c r="K51" s="4" t="s">
        <v>42</v>
      </c>
      <c r="L51" s="4" t="s">
        <v>27</v>
      </c>
      <c r="M51" s="4" t="s">
        <v>114</v>
      </c>
      <c r="N51" s="4" t="s">
        <v>29</v>
      </c>
      <c r="O51" s="16" t="s">
        <v>287</v>
      </c>
      <c r="P51" s="4" t="s">
        <v>256</v>
      </c>
      <c r="Q51" s="4" t="s">
        <v>32</v>
      </c>
    </row>
    <row r="52" ht="44" customHeight="1" spans="1:17">
      <c r="A52" s="4">
        <v>51</v>
      </c>
      <c r="B52" s="4" t="s">
        <v>288</v>
      </c>
      <c r="C52" s="4" t="s">
        <v>252</v>
      </c>
      <c r="D52" s="15" t="s">
        <v>289</v>
      </c>
      <c r="E52" s="4" t="s">
        <v>20</v>
      </c>
      <c r="F52" s="5" t="s">
        <v>21</v>
      </c>
      <c r="G52" s="5" t="s">
        <v>22</v>
      </c>
      <c r="H52" s="4" t="s">
        <v>290</v>
      </c>
      <c r="I52" s="4" t="s">
        <v>40</v>
      </c>
      <c r="J52" s="4" t="s">
        <v>41</v>
      </c>
      <c r="K52" s="4" t="s">
        <v>26</v>
      </c>
      <c r="L52" s="4" t="s">
        <v>27</v>
      </c>
      <c r="M52" s="4" t="s">
        <v>84</v>
      </c>
      <c r="N52" s="4" t="s">
        <v>29</v>
      </c>
      <c r="O52" s="16" t="s">
        <v>291</v>
      </c>
      <c r="P52" s="4" t="s">
        <v>267</v>
      </c>
      <c r="Q52" s="4" t="s">
        <v>46</v>
      </c>
    </row>
    <row r="53" ht="44" customHeight="1" spans="1:17">
      <c r="A53" s="4">
        <v>52</v>
      </c>
      <c r="B53" s="4" t="s">
        <v>292</v>
      </c>
      <c r="C53" s="4" t="s">
        <v>252</v>
      </c>
      <c r="D53" s="15" t="s">
        <v>293</v>
      </c>
      <c r="E53" s="4" t="s">
        <v>151</v>
      </c>
      <c r="F53" s="5" t="s">
        <v>152</v>
      </c>
      <c r="G53" s="5" t="s">
        <v>153</v>
      </c>
      <c r="H53" s="4" t="s">
        <v>294</v>
      </c>
      <c r="I53" s="4" t="s">
        <v>40</v>
      </c>
      <c r="J53" s="4" t="s">
        <v>230</v>
      </c>
      <c r="K53" s="4" t="s">
        <v>42</v>
      </c>
      <c r="L53" s="4" t="s">
        <v>27</v>
      </c>
      <c r="M53" s="4" t="s">
        <v>84</v>
      </c>
      <c r="N53" s="4" t="s">
        <v>29</v>
      </c>
      <c r="O53" s="16" t="s">
        <v>295</v>
      </c>
      <c r="P53" s="4" t="s">
        <v>267</v>
      </c>
      <c r="Q53" s="4" t="s">
        <v>46</v>
      </c>
    </row>
    <row r="54" ht="44" customHeight="1" spans="1:17">
      <c r="A54" s="4">
        <v>53</v>
      </c>
      <c r="B54" s="4" t="s">
        <v>296</v>
      </c>
      <c r="C54" s="4" t="s">
        <v>252</v>
      </c>
      <c r="D54" s="15" t="s">
        <v>297</v>
      </c>
      <c r="E54" s="4" t="s">
        <v>20</v>
      </c>
      <c r="F54" s="5" t="s">
        <v>21</v>
      </c>
      <c r="G54" s="5" t="s">
        <v>22</v>
      </c>
      <c r="H54" s="4" t="s">
        <v>298</v>
      </c>
      <c r="I54" s="4" t="s">
        <v>201</v>
      </c>
      <c r="J54" s="4" t="s">
        <v>25</v>
      </c>
      <c r="K54" s="4" t="s">
        <v>42</v>
      </c>
      <c r="L54" s="4" t="s">
        <v>27</v>
      </c>
      <c r="M54" s="4" t="s">
        <v>186</v>
      </c>
      <c r="N54" s="4" t="s">
        <v>29</v>
      </c>
      <c r="O54" s="16" t="s">
        <v>299</v>
      </c>
      <c r="P54" s="4" t="s">
        <v>256</v>
      </c>
      <c r="Q54" s="4" t="s">
        <v>32</v>
      </c>
    </row>
    <row r="55" ht="44" customHeight="1" spans="1:17">
      <c r="A55" s="4">
        <v>54</v>
      </c>
      <c r="B55" s="4" t="s">
        <v>300</v>
      </c>
      <c r="C55" s="4" t="s">
        <v>252</v>
      </c>
      <c r="D55" s="15" t="s">
        <v>301</v>
      </c>
      <c r="E55" s="4" t="s">
        <v>151</v>
      </c>
      <c r="F55" s="5" t="s">
        <v>152</v>
      </c>
      <c r="G55" s="5" t="s">
        <v>153</v>
      </c>
      <c r="H55" s="4" t="s">
        <v>302</v>
      </c>
      <c r="I55" s="4" t="s">
        <v>201</v>
      </c>
      <c r="J55" s="4" t="s">
        <v>25</v>
      </c>
      <c r="K55" s="4" t="s">
        <v>42</v>
      </c>
      <c r="L55" s="4" t="s">
        <v>27</v>
      </c>
      <c r="M55" s="4" t="s">
        <v>186</v>
      </c>
      <c r="N55" s="4" t="s">
        <v>29</v>
      </c>
      <c r="O55" s="16" t="s">
        <v>303</v>
      </c>
      <c r="P55" s="4" t="s">
        <v>256</v>
      </c>
      <c r="Q55" s="4" t="s">
        <v>32</v>
      </c>
    </row>
    <row r="56" ht="44" customHeight="1" spans="1:17">
      <c r="A56" s="4">
        <v>55</v>
      </c>
      <c r="B56" s="4" t="s">
        <v>304</v>
      </c>
      <c r="C56" s="4" t="s">
        <v>252</v>
      </c>
      <c r="D56" s="15" t="s">
        <v>305</v>
      </c>
      <c r="E56" s="4" t="s">
        <v>20</v>
      </c>
      <c r="F56" s="5" t="s">
        <v>21</v>
      </c>
      <c r="G56" s="5" t="s">
        <v>22</v>
      </c>
      <c r="H56" s="4" t="s">
        <v>306</v>
      </c>
      <c r="I56" s="4" t="s">
        <v>201</v>
      </c>
      <c r="J56" s="4" t="s">
        <v>25</v>
      </c>
      <c r="K56" s="4" t="s">
        <v>42</v>
      </c>
      <c r="L56" s="4" t="s">
        <v>27</v>
      </c>
      <c r="M56" s="4" t="s">
        <v>186</v>
      </c>
      <c r="N56" s="4" t="s">
        <v>29</v>
      </c>
      <c r="O56" s="16" t="s">
        <v>307</v>
      </c>
      <c r="P56" s="4" t="s">
        <v>256</v>
      </c>
      <c r="Q56" s="4" t="s">
        <v>32</v>
      </c>
    </row>
    <row r="57" ht="44" customHeight="1" spans="1:17">
      <c r="A57" s="4">
        <v>56</v>
      </c>
      <c r="B57" s="4" t="s">
        <v>308</v>
      </c>
      <c r="C57" s="4" t="s">
        <v>18</v>
      </c>
      <c r="D57" s="15" t="s">
        <v>309</v>
      </c>
      <c r="E57" s="4" t="s">
        <v>151</v>
      </c>
      <c r="F57" s="5" t="s">
        <v>152</v>
      </c>
      <c r="G57" s="5" t="s">
        <v>153</v>
      </c>
      <c r="H57" s="4" t="s">
        <v>310</v>
      </c>
      <c r="I57" s="4" t="s">
        <v>24</v>
      </c>
      <c r="J57" s="4" t="s">
        <v>25</v>
      </c>
      <c r="K57" s="4" t="s">
        <v>42</v>
      </c>
      <c r="L57" s="4" t="s">
        <v>27</v>
      </c>
      <c r="M57" s="4" t="s">
        <v>244</v>
      </c>
      <c r="N57" s="4" t="s">
        <v>29</v>
      </c>
      <c r="O57" s="16" t="s">
        <v>311</v>
      </c>
      <c r="P57" s="4" t="s">
        <v>312</v>
      </c>
      <c r="Q57" s="4" t="s">
        <v>32</v>
      </c>
    </row>
    <row r="58" ht="44" customHeight="1" spans="1:17">
      <c r="A58" s="4">
        <v>57</v>
      </c>
      <c r="B58" s="4" t="s">
        <v>313</v>
      </c>
      <c r="C58" s="4" t="s">
        <v>18</v>
      </c>
      <c r="D58" s="15" t="s">
        <v>314</v>
      </c>
      <c r="E58" s="4" t="s">
        <v>315</v>
      </c>
      <c r="F58" s="5" t="s">
        <v>316</v>
      </c>
      <c r="G58" s="5" t="s">
        <v>317</v>
      </c>
      <c r="H58" s="4" t="s">
        <v>318</v>
      </c>
      <c r="I58" s="4" t="s">
        <v>319</v>
      </c>
      <c r="J58" s="4" t="s">
        <v>25</v>
      </c>
      <c r="K58" s="4" t="s">
        <v>26</v>
      </c>
      <c r="L58" s="4" t="s">
        <v>27</v>
      </c>
      <c r="M58" s="4" t="s">
        <v>84</v>
      </c>
      <c r="N58" s="4" t="s">
        <v>29</v>
      </c>
      <c r="O58" s="16" t="s">
        <v>320</v>
      </c>
      <c r="P58" s="4" t="s">
        <v>321</v>
      </c>
      <c r="Q58" s="4" t="s">
        <v>32</v>
      </c>
    </row>
    <row r="59" ht="44" customHeight="1" spans="1:17">
      <c r="A59" s="4">
        <v>58</v>
      </c>
      <c r="B59" s="4" t="s">
        <v>322</v>
      </c>
      <c r="C59" s="4" t="s">
        <v>323</v>
      </c>
      <c r="D59" s="15" t="s">
        <v>324</v>
      </c>
      <c r="E59" s="4" t="s">
        <v>151</v>
      </c>
      <c r="F59" s="5" t="s">
        <v>152</v>
      </c>
      <c r="G59" s="5" t="s">
        <v>153</v>
      </c>
      <c r="H59" s="4" t="s">
        <v>325</v>
      </c>
      <c r="I59" s="4" t="s">
        <v>40</v>
      </c>
      <c r="J59" s="4" t="s">
        <v>230</v>
      </c>
      <c r="K59" s="4" t="s">
        <v>26</v>
      </c>
      <c r="L59" s="4" t="s">
        <v>27</v>
      </c>
      <c r="M59" s="4" t="s">
        <v>84</v>
      </c>
      <c r="N59" s="4" t="s">
        <v>29</v>
      </c>
      <c r="O59" s="16" t="s">
        <v>326</v>
      </c>
      <c r="P59" s="4" t="s">
        <v>327</v>
      </c>
      <c r="Q59" s="4" t="s">
        <v>46</v>
      </c>
    </row>
    <row r="60" ht="44" customHeight="1" spans="1:17">
      <c r="A60" s="4">
        <v>59</v>
      </c>
      <c r="B60" s="4" t="s">
        <v>328</v>
      </c>
      <c r="C60" s="4" t="s">
        <v>323</v>
      </c>
      <c r="D60" s="15" t="s">
        <v>329</v>
      </c>
      <c r="E60" s="4" t="s">
        <v>151</v>
      </c>
      <c r="F60" s="5" t="s">
        <v>152</v>
      </c>
      <c r="G60" s="5" t="s">
        <v>153</v>
      </c>
      <c r="H60" s="4" t="s">
        <v>330</v>
      </c>
      <c r="I60" s="4" t="s">
        <v>40</v>
      </c>
      <c r="J60" s="4" t="s">
        <v>230</v>
      </c>
      <c r="K60" s="4" t="s">
        <v>42</v>
      </c>
      <c r="L60" s="4" t="s">
        <v>27</v>
      </c>
      <c r="M60" s="4" t="s">
        <v>84</v>
      </c>
      <c r="N60" s="4" t="s">
        <v>29</v>
      </c>
      <c r="O60" s="16" t="s">
        <v>331</v>
      </c>
      <c r="P60" s="4" t="s">
        <v>327</v>
      </c>
      <c r="Q60" s="4" t="s">
        <v>46</v>
      </c>
    </row>
    <row r="61" ht="44" customHeight="1" spans="1:17">
      <c r="A61" s="4">
        <v>60</v>
      </c>
      <c r="B61" s="4" t="s">
        <v>332</v>
      </c>
      <c r="C61" s="4" t="s">
        <v>323</v>
      </c>
      <c r="D61" s="15" t="s">
        <v>333</v>
      </c>
      <c r="E61" s="4" t="s">
        <v>334</v>
      </c>
      <c r="F61" s="5" t="s">
        <v>335</v>
      </c>
      <c r="G61" s="5" t="s">
        <v>336</v>
      </c>
      <c r="H61" s="4" t="s">
        <v>337</v>
      </c>
      <c r="I61" s="4" t="s">
        <v>338</v>
      </c>
      <c r="J61" s="4" t="s">
        <v>25</v>
      </c>
      <c r="K61" s="4" t="s">
        <v>26</v>
      </c>
      <c r="L61" s="4" t="s">
        <v>27</v>
      </c>
      <c r="M61" s="4" t="s">
        <v>339</v>
      </c>
      <c r="N61" s="4" t="s">
        <v>29</v>
      </c>
      <c r="O61" s="16" t="s">
        <v>340</v>
      </c>
      <c r="P61" s="4" t="s">
        <v>341</v>
      </c>
      <c r="Q61" s="4" t="s">
        <v>32</v>
      </c>
    </row>
    <row r="62" ht="44" customHeight="1" spans="1:17">
      <c r="A62" s="4">
        <v>61</v>
      </c>
      <c r="B62" s="4" t="s">
        <v>342</v>
      </c>
      <c r="C62" s="4" t="s">
        <v>323</v>
      </c>
      <c r="D62" s="15" t="s">
        <v>343</v>
      </c>
      <c r="E62" s="4" t="s">
        <v>344</v>
      </c>
      <c r="F62" s="5" t="s">
        <v>345</v>
      </c>
      <c r="G62" s="5" t="s">
        <v>346</v>
      </c>
      <c r="H62" s="4" t="s">
        <v>347</v>
      </c>
      <c r="I62" s="4" t="s">
        <v>338</v>
      </c>
      <c r="J62" s="4" t="s">
        <v>25</v>
      </c>
      <c r="K62" s="4" t="s">
        <v>26</v>
      </c>
      <c r="L62" s="4" t="s">
        <v>27</v>
      </c>
      <c r="M62" s="4" t="s">
        <v>348</v>
      </c>
      <c r="N62" s="4" t="s">
        <v>29</v>
      </c>
      <c r="O62" s="16" t="s">
        <v>349</v>
      </c>
      <c r="P62" s="4" t="s">
        <v>341</v>
      </c>
      <c r="Q62" s="4" t="s">
        <v>32</v>
      </c>
    </row>
    <row r="63" ht="44" customHeight="1" spans="1:17">
      <c r="A63" s="4">
        <v>62</v>
      </c>
      <c r="B63" s="4" t="s">
        <v>350</v>
      </c>
      <c r="C63" s="4" t="s">
        <v>323</v>
      </c>
      <c r="D63" s="15" t="s">
        <v>351</v>
      </c>
      <c r="E63" s="4" t="s">
        <v>334</v>
      </c>
      <c r="F63" s="5" t="s">
        <v>335</v>
      </c>
      <c r="G63" s="5" t="s">
        <v>336</v>
      </c>
      <c r="H63" s="4" t="s">
        <v>352</v>
      </c>
      <c r="I63" s="4" t="s">
        <v>338</v>
      </c>
      <c r="J63" s="4" t="s">
        <v>25</v>
      </c>
      <c r="K63" s="4" t="s">
        <v>42</v>
      </c>
      <c r="L63" s="4" t="s">
        <v>27</v>
      </c>
      <c r="M63" s="4" t="s">
        <v>348</v>
      </c>
      <c r="N63" s="4" t="s">
        <v>29</v>
      </c>
      <c r="O63" s="16" t="s">
        <v>353</v>
      </c>
      <c r="P63" s="4" t="s">
        <v>341</v>
      </c>
      <c r="Q63" s="4" t="s">
        <v>32</v>
      </c>
    </row>
    <row r="64" ht="44" customHeight="1" spans="1:17">
      <c r="A64" s="4">
        <v>63</v>
      </c>
      <c r="B64" s="4" t="s">
        <v>354</v>
      </c>
      <c r="C64" s="4" t="s">
        <v>323</v>
      </c>
      <c r="D64" s="15" t="s">
        <v>355</v>
      </c>
      <c r="E64" s="4" t="s">
        <v>356</v>
      </c>
      <c r="F64" s="5" t="s">
        <v>21</v>
      </c>
      <c r="G64" s="5" t="s">
        <v>22</v>
      </c>
      <c r="H64" s="4" t="s">
        <v>357</v>
      </c>
      <c r="I64" s="4" t="s">
        <v>338</v>
      </c>
      <c r="J64" s="4" t="s">
        <v>25</v>
      </c>
      <c r="K64" s="4" t="s">
        <v>42</v>
      </c>
      <c r="L64" s="4" t="s">
        <v>27</v>
      </c>
      <c r="M64" s="4" t="s">
        <v>348</v>
      </c>
      <c r="N64" s="4" t="s">
        <v>29</v>
      </c>
      <c r="O64" s="16" t="s">
        <v>358</v>
      </c>
      <c r="P64" s="4" t="s">
        <v>341</v>
      </c>
      <c r="Q64" s="4" t="s">
        <v>32</v>
      </c>
    </row>
    <row r="65" ht="44" customHeight="1" spans="1:17">
      <c r="A65" s="4">
        <v>64</v>
      </c>
      <c r="B65" s="4" t="s">
        <v>359</v>
      </c>
      <c r="C65" s="4" t="s">
        <v>323</v>
      </c>
      <c r="D65" s="15" t="s">
        <v>360</v>
      </c>
      <c r="E65" s="4" t="s">
        <v>361</v>
      </c>
      <c r="F65" s="5" t="s">
        <v>345</v>
      </c>
      <c r="G65" s="5" t="s">
        <v>346</v>
      </c>
      <c r="H65" s="4" t="s">
        <v>362</v>
      </c>
      <c r="I65" s="4" t="s">
        <v>338</v>
      </c>
      <c r="J65" s="4" t="s">
        <v>25</v>
      </c>
      <c r="K65" s="4" t="s">
        <v>26</v>
      </c>
      <c r="L65" s="4" t="s">
        <v>27</v>
      </c>
      <c r="M65" s="4" t="s">
        <v>363</v>
      </c>
      <c r="N65" s="4" t="s">
        <v>29</v>
      </c>
      <c r="O65" s="16" t="s">
        <v>364</v>
      </c>
      <c r="P65" s="4" t="s">
        <v>341</v>
      </c>
      <c r="Q65" s="4" t="s">
        <v>32</v>
      </c>
    </row>
    <row r="66" ht="44" customHeight="1" spans="1:17">
      <c r="A66" s="4">
        <v>65</v>
      </c>
      <c r="B66" s="4" t="s">
        <v>365</v>
      </c>
      <c r="C66" s="4" t="s">
        <v>366</v>
      </c>
      <c r="D66" s="15" t="s">
        <v>367</v>
      </c>
      <c r="E66" s="4" t="s">
        <v>368</v>
      </c>
      <c r="F66" s="5" t="s">
        <v>369</v>
      </c>
      <c r="G66" s="5" t="s">
        <v>370</v>
      </c>
      <c r="H66" s="4" t="s">
        <v>371</v>
      </c>
      <c r="I66" s="4" t="s">
        <v>372</v>
      </c>
      <c r="J66" s="4" t="s">
        <v>25</v>
      </c>
      <c r="K66" s="4" t="s">
        <v>42</v>
      </c>
      <c r="L66" s="4" t="s">
        <v>27</v>
      </c>
      <c r="M66" s="4" t="s">
        <v>84</v>
      </c>
      <c r="N66" s="4" t="s">
        <v>29</v>
      </c>
      <c r="O66" s="16" t="s">
        <v>373</v>
      </c>
      <c r="P66" s="4" t="s">
        <v>374</v>
      </c>
      <c r="Q66" s="4" t="s">
        <v>32</v>
      </c>
    </row>
    <row r="67" ht="44" customHeight="1" spans="1:17">
      <c r="A67" s="4">
        <v>66</v>
      </c>
      <c r="B67" s="4" t="s">
        <v>375</v>
      </c>
      <c r="C67" s="4" t="s">
        <v>366</v>
      </c>
      <c r="D67" s="15" t="s">
        <v>376</v>
      </c>
      <c r="E67" s="4" t="s">
        <v>368</v>
      </c>
      <c r="F67" s="5" t="s">
        <v>369</v>
      </c>
      <c r="G67" s="5" t="s">
        <v>370</v>
      </c>
      <c r="H67" s="4" t="s">
        <v>377</v>
      </c>
      <c r="I67" s="4" t="s">
        <v>372</v>
      </c>
      <c r="J67" s="4" t="s">
        <v>25</v>
      </c>
      <c r="K67" s="4" t="s">
        <v>42</v>
      </c>
      <c r="L67" s="4" t="s">
        <v>27</v>
      </c>
      <c r="M67" s="4" t="s">
        <v>84</v>
      </c>
      <c r="N67" s="4" t="s">
        <v>29</v>
      </c>
      <c r="O67" s="16" t="s">
        <v>378</v>
      </c>
      <c r="P67" s="4" t="s">
        <v>374</v>
      </c>
      <c r="Q67" s="4" t="s">
        <v>32</v>
      </c>
    </row>
    <row r="68" ht="44" customHeight="1" spans="1:17">
      <c r="A68" s="4">
        <v>67</v>
      </c>
      <c r="B68" s="4" t="s">
        <v>379</v>
      </c>
      <c r="C68" s="4" t="s">
        <v>366</v>
      </c>
      <c r="D68" s="15" t="s">
        <v>380</v>
      </c>
      <c r="E68" s="4" t="s">
        <v>368</v>
      </c>
      <c r="F68" s="5" t="s">
        <v>369</v>
      </c>
      <c r="G68" s="5" t="s">
        <v>370</v>
      </c>
      <c r="H68" s="4" t="s">
        <v>381</v>
      </c>
      <c r="I68" s="4" t="s">
        <v>372</v>
      </c>
      <c r="J68" s="4" t="s">
        <v>25</v>
      </c>
      <c r="K68" s="4" t="s">
        <v>26</v>
      </c>
      <c r="L68" s="4" t="s">
        <v>27</v>
      </c>
      <c r="M68" s="4" t="s">
        <v>84</v>
      </c>
      <c r="N68" s="4" t="s">
        <v>29</v>
      </c>
      <c r="O68" s="16" t="s">
        <v>382</v>
      </c>
      <c r="P68" s="4" t="s">
        <v>374</v>
      </c>
      <c r="Q68" s="4" t="s">
        <v>32</v>
      </c>
    </row>
    <row r="69" ht="44" customHeight="1" spans="1:17">
      <c r="A69" s="4">
        <v>68</v>
      </c>
      <c r="B69" s="4" t="s">
        <v>383</v>
      </c>
      <c r="C69" s="4" t="s">
        <v>366</v>
      </c>
      <c r="D69" s="15" t="s">
        <v>384</v>
      </c>
      <c r="E69" s="4" t="s">
        <v>368</v>
      </c>
      <c r="F69" s="5" t="s">
        <v>369</v>
      </c>
      <c r="G69" s="5" t="s">
        <v>370</v>
      </c>
      <c r="H69" s="4" t="s">
        <v>385</v>
      </c>
      <c r="I69" s="4" t="s">
        <v>372</v>
      </c>
      <c r="J69" s="4" t="s">
        <v>25</v>
      </c>
      <c r="K69" s="4" t="s">
        <v>42</v>
      </c>
      <c r="L69" s="4" t="s">
        <v>27</v>
      </c>
      <c r="M69" s="4" t="s">
        <v>84</v>
      </c>
      <c r="N69" s="4" t="s">
        <v>29</v>
      </c>
      <c r="O69" s="16" t="s">
        <v>386</v>
      </c>
      <c r="P69" s="4" t="s">
        <v>374</v>
      </c>
      <c r="Q69" s="4" t="s">
        <v>32</v>
      </c>
    </row>
    <row r="70" ht="44" customHeight="1" spans="1:17">
      <c r="A70" s="4">
        <v>69</v>
      </c>
      <c r="B70" s="4" t="s">
        <v>387</v>
      </c>
      <c r="C70" s="4" t="s">
        <v>366</v>
      </c>
      <c r="D70" s="15" t="s">
        <v>388</v>
      </c>
      <c r="E70" s="4" t="s">
        <v>334</v>
      </c>
      <c r="F70" s="5" t="s">
        <v>335</v>
      </c>
      <c r="G70" s="5" t="s">
        <v>336</v>
      </c>
      <c r="H70" s="4" t="s">
        <v>389</v>
      </c>
      <c r="I70" s="4" t="s">
        <v>372</v>
      </c>
      <c r="J70" s="4" t="s">
        <v>25</v>
      </c>
      <c r="K70" s="4" t="s">
        <v>26</v>
      </c>
      <c r="L70" s="4" t="s">
        <v>27</v>
      </c>
      <c r="M70" s="4" t="s">
        <v>84</v>
      </c>
      <c r="N70" s="4" t="s">
        <v>29</v>
      </c>
      <c r="O70" s="16" t="s">
        <v>390</v>
      </c>
      <c r="P70" s="4" t="s">
        <v>374</v>
      </c>
      <c r="Q70" s="4" t="s">
        <v>32</v>
      </c>
    </row>
    <row r="71" ht="44" customHeight="1" spans="1:17">
      <c r="A71" s="4">
        <v>70</v>
      </c>
      <c r="B71" s="4" t="s">
        <v>391</v>
      </c>
      <c r="C71" s="4" t="s">
        <v>366</v>
      </c>
      <c r="D71" s="15" t="s">
        <v>392</v>
      </c>
      <c r="E71" s="4" t="s">
        <v>368</v>
      </c>
      <c r="F71" s="5" t="s">
        <v>369</v>
      </c>
      <c r="G71" s="5" t="s">
        <v>370</v>
      </c>
      <c r="H71" s="4" t="s">
        <v>393</v>
      </c>
      <c r="I71" s="4" t="s">
        <v>372</v>
      </c>
      <c r="J71" s="4" t="s">
        <v>25</v>
      </c>
      <c r="K71" s="4" t="s">
        <v>42</v>
      </c>
      <c r="L71" s="4" t="s">
        <v>27</v>
      </c>
      <c r="M71" s="4" t="s">
        <v>84</v>
      </c>
      <c r="N71" s="4" t="s">
        <v>29</v>
      </c>
      <c r="O71" s="16" t="s">
        <v>394</v>
      </c>
      <c r="P71" s="4" t="s">
        <v>374</v>
      </c>
      <c r="Q71" s="4" t="s">
        <v>32</v>
      </c>
    </row>
    <row r="72" ht="44" customHeight="1" spans="1:17">
      <c r="A72" s="4">
        <v>71</v>
      </c>
      <c r="B72" s="4" t="s">
        <v>395</v>
      </c>
      <c r="C72" s="4" t="s">
        <v>366</v>
      </c>
      <c r="D72" s="15" t="s">
        <v>396</v>
      </c>
      <c r="E72" s="4" t="s">
        <v>368</v>
      </c>
      <c r="F72" s="5" t="s">
        <v>369</v>
      </c>
      <c r="G72" s="5" t="s">
        <v>370</v>
      </c>
      <c r="H72" s="4" t="s">
        <v>397</v>
      </c>
      <c r="I72" s="4" t="s">
        <v>338</v>
      </c>
      <c r="J72" s="4" t="s">
        <v>25</v>
      </c>
      <c r="K72" s="4" t="s">
        <v>42</v>
      </c>
      <c r="L72" s="4" t="s">
        <v>27</v>
      </c>
      <c r="M72" s="4" t="s">
        <v>348</v>
      </c>
      <c r="N72" s="4" t="s">
        <v>29</v>
      </c>
      <c r="O72" s="16" t="s">
        <v>398</v>
      </c>
      <c r="P72" s="4" t="s">
        <v>399</v>
      </c>
      <c r="Q72" s="4" t="s">
        <v>32</v>
      </c>
    </row>
    <row r="73" ht="44" customHeight="1" spans="1:17">
      <c r="A73" s="4">
        <v>72</v>
      </c>
      <c r="B73" s="4" t="s">
        <v>400</v>
      </c>
      <c r="C73" s="4" t="s">
        <v>366</v>
      </c>
      <c r="D73" s="15" t="s">
        <v>401</v>
      </c>
      <c r="E73" s="4" t="s">
        <v>334</v>
      </c>
      <c r="F73" s="5" t="s">
        <v>335</v>
      </c>
      <c r="G73" s="5" t="s">
        <v>336</v>
      </c>
      <c r="H73" s="4" t="s">
        <v>402</v>
      </c>
      <c r="I73" s="4" t="s">
        <v>372</v>
      </c>
      <c r="J73" s="4" t="s">
        <v>25</v>
      </c>
      <c r="K73" s="4" t="s">
        <v>403</v>
      </c>
      <c r="L73" s="4" t="s">
        <v>27</v>
      </c>
      <c r="M73" s="4" t="s">
        <v>84</v>
      </c>
      <c r="N73" s="4" t="s">
        <v>29</v>
      </c>
      <c r="O73" s="16" t="s">
        <v>404</v>
      </c>
      <c r="P73" s="4" t="s">
        <v>374</v>
      </c>
      <c r="Q73" s="4" t="s">
        <v>32</v>
      </c>
    </row>
    <row r="74" ht="44" customHeight="1" spans="1:17">
      <c r="A74" s="4">
        <v>73</v>
      </c>
      <c r="B74" s="4" t="s">
        <v>405</v>
      </c>
      <c r="C74" s="4" t="s">
        <v>366</v>
      </c>
      <c r="D74" s="15" t="s">
        <v>406</v>
      </c>
      <c r="E74" s="4" t="s">
        <v>368</v>
      </c>
      <c r="F74" s="5" t="s">
        <v>369</v>
      </c>
      <c r="G74" s="5" t="s">
        <v>370</v>
      </c>
      <c r="H74" s="4" t="s">
        <v>407</v>
      </c>
      <c r="I74" s="4" t="s">
        <v>408</v>
      </c>
      <c r="J74" s="4" t="s">
        <v>409</v>
      </c>
      <c r="K74" s="4" t="s">
        <v>42</v>
      </c>
      <c r="L74" s="4" t="s">
        <v>27</v>
      </c>
      <c r="M74" s="4" t="s">
        <v>84</v>
      </c>
      <c r="N74" s="4" t="s">
        <v>29</v>
      </c>
      <c r="O74" s="16" t="s">
        <v>410</v>
      </c>
      <c r="P74" s="4" t="s">
        <v>411</v>
      </c>
      <c r="Q74" s="4" t="s">
        <v>46</v>
      </c>
    </row>
    <row r="75" ht="44" customHeight="1" spans="1:17">
      <c r="A75" s="4">
        <v>74</v>
      </c>
      <c r="B75" s="4" t="s">
        <v>412</v>
      </c>
      <c r="C75" s="4" t="s">
        <v>413</v>
      </c>
      <c r="D75" s="15" t="s">
        <v>414</v>
      </c>
      <c r="E75" s="4" t="s">
        <v>415</v>
      </c>
      <c r="F75" s="5" t="s">
        <v>416</v>
      </c>
      <c r="G75" s="5" t="s">
        <v>417</v>
      </c>
      <c r="H75" s="4" t="s">
        <v>418</v>
      </c>
      <c r="I75" s="4" t="s">
        <v>419</v>
      </c>
      <c r="J75" s="4" t="s">
        <v>25</v>
      </c>
      <c r="K75" s="4" t="s">
        <v>26</v>
      </c>
      <c r="L75" s="4" t="s">
        <v>27</v>
      </c>
      <c r="M75" s="4" t="s">
        <v>84</v>
      </c>
      <c r="N75" s="4" t="s">
        <v>29</v>
      </c>
      <c r="O75" s="16" t="s">
        <v>420</v>
      </c>
      <c r="P75" s="4" t="s">
        <v>421</v>
      </c>
      <c r="Q75" s="4" t="s">
        <v>32</v>
      </c>
    </row>
    <row r="76" ht="44" customHeight="1" spans="1:17">
      <c r="A76" s="4">
        <v>75</v>
      </c>
      <c r="B76" s="4" t="s">
        <v>422</v>
      </c>
      <c r="C76" s="4" t="s">
        <v>413</v>
      </c>
      <c r="D76" s="15" t="s">
        <v>423</v>
      </c>
      <c r="E76" s="4" t="s">
        <v>415</v>
      </c>
      <c r="F76" s="5" t="s">
        <v>416</v>
      </c>
      <c r="G76" s="5" t="s">
        <v>417</v>
      </c>
      <c r="H76" s="4" t="s">
        <v>424</v>
      </c>
      <c r="I76" s="4" t="s">
        <v>425</v>
      </c>
      <c r="J76" s="4" t="s">
        <v>426</v>
      </c>
      <c r="K76" s="4" t="s">
        <v>26</v>
      </c>
      <c r="L76" s="4" t="s">
        <v>27</v>
      </c>
      <c r="M76" s="4" t="s">
        <v>84</v>
      </c>
      <c r="N76" s="4" t="s">
        <v>29</v>
      </c>
      <c r="O76" s="16" t="s">
        <v>427</v>
      </c>
      <c r="P76" s="4" t="s">
        <v>428</v>
      </c>
      <c r="Q76" s="4" t="s">
        <v>46</v>
      </c>
    </row>
    <row r="77" ht="44" customHeight="1" spans="1:17">
      <c r="A77" s="4">
        <v>76</v>
      </c>
      <c r="B77" s="4" t="s">
        <v>429</v>
      </c>
      <c r="C77" s="4" t="s">
        <v>413</v>
      </c>
      <c r="D77" s="15" t="s">
        <v>430</v>
      </c>
      <c r="E77" s="4" t="s">
        <v>415</v>
      </c>
      <c r="F77" s="5" t="s">
        <v>416</v>
      </c>
      <c r="G77" s="5" t="s">
        <v>417</v>
      </c>
      <c r="H77" s="4" t="s">
        <v>431</v>
      </c>
      <c r="I77" s="4" t="s">
        <v>419</v>
      </c>
      <c r="J77" s="4" t="s">
        <v>25</v>
      </c>
      <c r="K77" s="4" t="s">
        <v>26</v>
      </c>
      <c r="L77" s="4" t="s">
        <v>27</v>
      </c>
      <c r="M77" s="4" t="s">
        <v>84</v>
      </c>
      <c r="N77" s="4" t="s">
        <v>29</v>
      </c>
      <c r="O77" s="16" t="s">
        <v>432</v>
      </c>
      <c r="P77" s="4" t="s">
        <v>421</v>
      </c>
      <c r="Q77" s="4" t="s">
        <v>32</v>
      </c>
    </row>
    <row r="78" ht="44" customHeight="1" spans="1:17">
      <c r="A78" s="4">
        <v>77</v>
      </c>
      <c r="B78" s="4" t="s">
        <v>433</v>
      </c>
      <c r="C78" s="4" t="s">
        <v>413</v>
      </c>
      <c r="D78" s="15" t="s">
        <v>434</v>
      </c>
      <c r="E78" s="4" t="s">
        <v>315</v>
      </c>
      <c r="F78" s="5" t="s">
        <v>316</v>
      </c>
      <c r="G78" s="5" t="s">
        <v>317</v>
      </c>
      <c r="H78" s="4" t="s">
        <v>435</v>
      </c>
      <c r="I78" s="4" t="s">
        <v>338</v>
      </c>
      <c r="J78" s="4" t="s">
        <v>25</v>
      </c>
      <c r="K78" s="4" t="s">
        <v>26</v>
      </c>
      <c r="L78" s="4" t="s">
        <v>27</v>
      </c>
      <c r="M78" s="4" t="s">
        <v>348</v>
      </c>
      <c r="N78" s="4" t="s">
        <v>29</v>
      </c>
      <c r="O78" s="16" t="s">
        <v>436</v>
      </c>
      <c r="P78" s="4" t="s">
        <v>437</v>
      </c>
      <c r="Q78" s="4" t="s">
        <v>32</v>
      </c>
    </row>
    <row r="79" ht="44" customHeight="1" spans="1:17">
      <c r="A79" s="4">
        <v>78</v>
      </c>
      <c r="B79" s="4" t="s">
        <v>438</v>
      </c>
      <c r="C79" s="4" t="s">
        <v>413</v>
      </c>
      <c r="D79" s="15" t="s">
        <v>439</v>
      </c>
      <c r="E79" s="4" t="s">
        <v>415</v>
      </c>
      <c r="F79" s="5" t="s">
        <v>416</v>
      </c>
      <c r="G79" s="5" t="s">
        <v>417</v>
      </c>
      <c r="H79" s="4" t="s">
        <v>440</v>
      </c>
      <c r="I79" s="4" t="s">
        <v>419</v>
      </c>
      <c r="J79" s="4" t="s">
        <v>25</v>
      </c>
      <c r="K79" s="4" t="s">
        <v>26</v>
      </c>
      <c r="L79" s="4" t="s">
        <v>27</v>
      </c>
      <c r="M79" s="4" t="s">
        <v>84</v>
      </c>
      <c r="N79" s="4" t="s">
        <v>29</v>
      </c>
      <c r="O79" s="16" t="s">
        <v>441</v>
      </c>
      <c r="P79" s="4" t="s">
        <v>421</v>
      </c>
      <c r="Q79" s="4" t="s">
        <v>32</v>
      </c>
    </row>
    <row r="80" ht="44" customHeight="1" spans="1:17">
      <c r="A80" s="4">
        <v>79</v>
      </c>
      <c r="B80" s="4" t="s">
        <v>442</v>
      </c>
      <c r="C80" s="4" t="s">
        <v>443</v>
      </c>
      <c r="D80" s="15" t="s">
        <v>444</v>
      </c>
      <c r="E80" s="4" t="s">
        <v>445</v>
      </c>
      <c r="F80" s="5" t="s">
        <v>446</v>
      </c>
      <c r="G80" s="5" t="s">
        <v>447</v>
      </c>
      <c r="H80" s="4" t="s">
        <v>448</v>
      </c>
      <c r="I80" s="4" t="s">
        <v>319</v>
      </c>
      <c r="J80" s="4" t="s">
        <v>25</v>
      </c>
      <c r="K80" s="4" t="s">
        <v>26</v>
      </c>
      <c r="L80" s="4" t="s">
        <v>27</v>
      </c>
      <c r="M80" s="4" t="s">
        <v>84</v>
      </c>
      <c r="N80" s="4" t="s">
        <v>29</v>
      </c>
      <c r="O80" s="16" t="s">
        <v>449</v>
      </c>
      <c r="P80" s="4" t="s">
        <v>450</v>
      </c>
      <c r="Q80" s="4" t="s">
        <v>32</v>
      </c>
    </row>
    <row r="81" ht="44" customHeight="1" spans="1:17">
      <c r="A81" s="4">
        <v>80</v>
      </c>
      <c r="B81" s="4" t="s">
        <v>451</v>
      </c>
      <c r="C81" s="4" t="s">
        <v>443</v>
      </c>
      <c r="D81" s="15" t="s">
        <v>452</v>
      </c>
      <c r="E81" s="4" t="s">
        <v>445</v>
      </c>
      <c r="F81" s="5" t="s">
        <v>446</v>
      </c>
      <c r="G81" s="5" t="s">
        <v>447</v>
      </c>
      <c r="H81" s="4" t="s">
        <v>453</v>
      </c>
      <c r="I81" s="4" t="s">
        <v>419</v>
      </c>
      <c r="J81" s="4" t="s">
        <v>25</v>
      </c>
      <c r="K81" s="4" t="s">
        <v>26</v>
      </c>
      <c r="L81" s="4" t="s">
        <v>27</v>
      </c>
      <c r="M81" s="4" t="s">
        <v>84</v>
      </c>
      <c r="N81" s="4" t="s">
        <v>29</v>
      </c>
      <c r="O81" s="16" t="s">
        <v>454</v>
      </c>
      <c r="P81" s="4" t="s">
        <v>421</v>
      </c>
      <c r="Q81" s="4" t="s">
        <v>32</v>
      </c>
    </row>
    <row r="82" ht="44" customHeight="1" spans="1:17">
      <c r="A82" s="4">
        <v>81</v>
      </c>
      <c r="B82" s="4" t="s">
        <v>455</v>
      </c>
      <c r="C82" s="4" t="s">
        <v>443</v>
      </c>
      <c r="D82" s="15" t="s">
        <v>456</v>
      </c>
      <c r="E82" s="4" t="s">
        <v>315</v>
      </c>
      <c r="F82" s="5" t="s">
        <v>316</v>
      </c>
      <c r="G82" s="5" t="s">
        <v>317</v>
      </c>
      <c r="H82" s="4" t="s">
        <v>457</v>
      </c>
      <c r="I82" s="4" t="s">
        <v>458</v>
      </c>
      <c r="J82" s="4" t="s">
        <v>25</v>
      </c>
      <c r="K82" s="4" t="s">
        <v>26</v>
      </c>
      <c r="L82" s="4" t="s">
        <v>27</v>
      </c>
      <c r="M82" s="4" t="s">
        <v>186</v>
      </c>
      <c r="N82" s="4" t="s">
        <v>29</v>
      </c>
      <c r="O82" s="16" t="s">
        <v>459</v>
      </c>
      <c r="P82" s="4" t="s">
        <v>460</v>
      </c>
      <c r="Q82" s="4" t="s">
        <v>32</v>
      </c>
    </row>
    <row r="83" ht="44" customHeight="1" spans="1:17">
      <c r="A83" s="4">
        <v>82</v>
      </c>
      <c r="B83" s="4" t="s">
        <v>461</v>
      </c>
      <c r="C83" s="4" t="s">
        <v>413</v>
      </c>
      <c r="D83" s="15" t="s">
        <v>462</v>
      </c>
      <c r="E83" s="4" t="s">
        <v>315</v>
      </c>
      <c r="F83" s="5" t="s">
        <v>316</v>
      </c>
      <c r="G83" s="5" t="s">
        <v>317</v>
      </c>
      <c r="H83" s="4" t="s">
        <v>463</v>
      </c>
      <c r="I83" s="4" t="s">
        <v>425</v>
      </c>
      <c r="J83" s="4" t="s">
        <v>464</v>
      </c>
      <c r="K83" s="4" t="s">
        <v>26</v>
      </c>
      <c r="L83" s="4" t="s">
        <v>27</v>
      </c>
      <c r="M83" s="4" t="s">
        <v>84</v>
      </c>
      <c r="N83" s="4" t="s">
        <v>29</v>
      </c>
      <c r="O83" s="16" t="s">
        <v>465</v>
      </c>
      <c r="P83" s="4" t="s">
        <v>428</v>
      </c>
      <c r="Q83" s="4" t="s">
        <v>46</v>
      </c>
    </row>
    <row r="84" ht="44" customHeight="1" spans="1:17">
      <c r="A84" s="4">
        <v>83</v>
      </c>
      <c r="B84" s="4" t="s">
        <v>466</v>
      </c>
      <c r="C84" s="4" t="s">
        <v>443</v>
      </c>
      <c r="D84" s="15" t="s">
        <v>467</v>
      </c>
      <c r="E84" s="4" t="s">
        <v>315</v>
      </c>
      <c r="F84" s="5" t="s">
        <v>316</v>
      </c>
      <c r="G84" s="5" t="s">
        <v>317</v>
      </c>
      <c r="H84" s="4" t="s">
        <v>468</v>
      </c>
      <c r="I84" s="4" t="s">
        <v>319</v>
      </c>
      <c r="J84" s="4" t="s">
        <v>25</v>
      </c>
      <c r="K84" s="4" t="s">
        <v>26</v>
      </c>
      <c r="L84" s="4" t="s">
        <v>27</v>
      </c>
      <c r="M84" s="4" t="s">
        <v>84</v>
      </c>
      <c r="N84" s="4" t="s">
        <v>29</v>
      </c>
      <c r="O84" s="16" t="s">
        <v>469</v>
      </c>
      <c r="P84" s="4" t="s">
        <v>450</v>
      </c>
      <c r="Q84" s="4" t="s">
        <v>32</v>
      </c>
    </row>
    <row r="85" ht="44" customHeight="1" spans="1:17">
      <c r="A85" s="4">
        <v>84</v>
      </c>
      <c r="B85" s="4" t="s">
        <v>470</v>
      </c>
      <c r="C85" s="4" t="s">
        <v>413</v>
      </c>
      <c r="D85" s="15" t="s">
        <v>471</v>
      </c>
      <c r="E85" s="4" t="s">
        <v>315</v>
      </c>
      <c r="F85" s="5" t="s">
        <v>316</v>
      </c>
      <c r="G85" s="5" t="s">
        <v>317</v>
      </c>
      <c r="H85" s="4" t="s">
        <v>472</v>
      </c>
      <c r="I85" s="4" t="s">
        <v>419</v>
      </c>
      <c r="J85" s="4" t="s">
        <v>25</v>
      </c>
      <c r="K85" s="4" t="s">
        <v>26</v>
      </c>
      <c r="L85" s="4" t="s">
        <v>27</v>
      </c>
      <c r="M85" s="4" t="s">
        <v>84</v>
      </c>
      <c r="N85" s="4" t="s">
        <v>29</v>
      </c>
      <c r="O85" s="16" t="s">
        <v>473</v>
      </c>
      <c r="P85" s="4" t="s">
        <v>421</v>
      </c>
      <c r="Q85" s="4" t="s">
        <v>32</v>
      </c>
    </row>
    <row r="86" ht="44" customHeight="1" spans="1:17">
      <c r="A86" s="4">
        <v>85</v>
      </c>
      <c r="B86" s="4" t="s">
        <v>474</v>
      </c>
      <c r="C86" s="4" t="s">
        <v>475</v>
      </c>
      <c r="D86" s="15" t="s">
        <v>476</v>
      </c>
      <c r="E86" s="4" t="s">
        <v>477</v>
      </c>
      <c r="F86" s="5" t="s">
        <v>478</v>
      </c>
      <c r="G86" s="5" t="s">
        <v>479</v>
      </c>
      <c r="H86" s="4" t="s">
        <v>480</v>
      </c>
      <c r="I86" s="4" t="s">
        <v>481</v>
      </c>
      <c r="J86" s="4" t="s">
        <v>25</v>
      </c>
      <c r="K86" s="4" t="s">
        <v>42</v>
      </c>
      <c r="L86" s="4" t="s">
        <v>27</v>
      </c>
      <c r="M86" s="4" t="s">
        <v>186</v>
      </c>
      <c r="N86" s="4" t="s">
        <v>29</v>
      </c>
      <c r="O86" s="16" t="s">
        <v>482</v>
      </c>
      <c r="P86" s="4" t="s">
        <v>483</v>
      </c>
      <c r="Q86" s="4" t="s">
        <v>32</v>
      </c>
    </row>
    <row r="87" ht="44" customHeight="1" spans="1:17">
      <c r="A87" s="4">
        <v>86</v>
      </c>
      <c r="B87" s="4" t="s">
        <v>484</v>
      </c>
      <c r="C87" s="4" t="s">
        <v>475</v>
      </c>
      <c r="D87" s="15" t="s">
        <v>485</v>
      </c>
      <c r="E87" s="4" t="s">
        <v>477</v>
      </c>
      <c r="F87" s="5" t="s">
        <v>478</v>
      </c>
      <c r="G87" s="5" t="s">
        <v>479</v>
      </c>
      <c r="H87" s="4" t="s">
        <v>486</v>
      </c>
      <c r="I87" s="4" t="s">
        <v>481</v>
      </c>
      <c r="J87" s="4" t="s">
        <v>25</v>
      </c>
      <c r="K87" s="4" t="s">
        <v>42</v>
      </c>
      <c r="L87" s="4" t="s">
        <v>27</v>
      </c>
      <c r="M87" s="4" t="s">
        <v>186</v>
      </c>
      <c r="N87" s="4" t="s">
        <v>29</v>
      </c>
      <c r="O87" s="16" t="s">
        <v>487</v>
      </c>
      <c r="P87" s="4" t="s">
        <v>483</v>
      </c>
      <c r="Q87" s="4" t="s">
        <v>32</v>
      </c>
    </row>
    <row r="88" ht="44" customHeight="1" spans="1:17">
      <c r="A88" s="4">
        <v>87</v>
      </c>
      <c r="B88" s="4" t="s">
        <v>488</v>
      </c>
      <c r="C88" s="4" t="s">
        <v>475</v>
      </c>
      <c r="D88" s="15" t="s">
        <v>489</v>
      </c>
      <c r="E88" s="4" t="s">
        <v>139</v>
      </c>
      <c r="F88" s="5" t="s">
        <v>140</v>
      </c>
      <c r="G88" s="5" t="s">
        <v>141</v>
      </c>
      <c r="H88" s="4" t="s">
        <v>490</v>
      </c>
      <c r="I88" s="4" t="s">
        <v>481</v>
      </c>
      <c r="J88" s="4" t="s">
        <v>25</v>
      </c>
      <c r="K88" s="4" t="s">
        <v>42</v>
      </c>
      <c r="L88" s="4" t="s">
        <v>27</v>
      </c>
      <c r="M88" s="4" t="s">
        <v>186</v>
      </c>
      <c r="N88" s="4" t="s">
        <v>29</v>
      </c>
      <c r="O88" s="16" t="s">
        <v>491</v>
      </c>
      <c r="P88" s="4" t="s">
        <v>483</v>
      </c>
      <c r="Q88" s="4" t="s">
        <v>32</v>
      </c>
    </row>
    <row r="89" ht="44" customHeight="1" spans="1:17">
      <c r="A89" s="4">
        <v>88</v>
      </c>
      <c r="B89" s="4" t="s">
        <v>492</v>
      </c>
      <c r="C89" s="4" t="s">
        <v>475</v>
      </c>
      <c r="D89" s="15" t="s">
        <v>493</v>
      </c>
      <c r="E89" s="4" t="s">
        <v>494</v>
      </c>
      <c r="F89" s="5" t="s">
        <v>495</v>
      </c>
      <c r="G89" s="5" t="s">
        <v>496</v>
      </c>
      <c r="H89" s="4" t="s">
        <v>497</v>
      </c>
      <c r="I89" s="4" t="s">
        <v>481</v>
      </c>
      <c r="J89" s="4" t="s">
        <v>25</v>
      </c>
      <c r="K89" s="4" t="s">
        <v>403</v>
      </c>
      <c r="L89" s="4" t="s">
        <v>27</v>
      </c>
      <c r="M89" s="4" t="s">
        <v>186</v>
      </c>
      <c r="N89" s="4" t="s">
        <v>29</v>
      </c>
      <c r="O89" s="16" t="s">
        <v>498</v>
      </c>
      <c r="P89" s="4" t="s">
        <v>483</v>
      </c>
      <c r="Q89" s="4" t="s">
        <v>32</v>
      </c>
    </row>
    <row r="90" ht="44" customHeight="1" spans="1:17">
      <c r="A90" s="4">
        <v>89</v>
      </c>
      <c r="B90" s="4" t="s">
        <v>499</v>
      </c>
      <c r="C90" s="4" t="s">
        <v>475</v>
      </c>
      <c r="D90" s="15" t="s">
        <v>500</v>
      </c>
      <c r="E90" s="4" t="s">
        <v>501</v>
      </c>
      <c r="F90" s="5" t="s">
        <v>495</v>
      </c>
      <c r="G90" s="5" t="s">
        <v>496</v>
      </c>
      <c r="H90" s="4" t="s">
        <v>502</v>
      </c>
      <c r="I90" s="4" t="s">
        <v>40</v>
      </c>
      <c r="J90" s="4" t="s">
        <v>503</v>
      </c>
      <c r="K90" s="4" t="s">
        <v>42</v>
      </c>
      <c r="L90" s="4" t="s">
        <v>27</v>
      </c>
      <c r="M90" s="4" t="s">
        <v>84</v>
      </c>
      <c r="N90" s="4" t="s">
        <v>29</v>
      </c>
      <c r="O90" s="16" t="s">
        <v>504</v>
      </c>
      <c r="P90" s="4" t="s">
        <v>505</v>
      </c>
      <c r="Q90" s="4" t="s">
        <v>46</v>
      </c>
    </row>
    <row r="91" ht="44" customHeight="1" spans="1:17">
      <c r="A91" s="4">
        <v>90</v>
      </c>
      <c r="B91" s="4" t="s">
        <v>506</v>
      </c>
      <c r="C91" s="4" t="s">
        <v>475</v>
      </c>
      <c r="D91" s="15" t="s">
        <v>507</v>
      </c>
      <c r="E91" s="4" t="s">
        <v>477</v>
      </c>
      <c r="F91" s="5" t="s">
        <v>478</v>
      </c>
      <c r="G91" s="5" t="s">
        <v>479</v>
      </c>
      <c r="H91" s="4" t="s">
        <v>508</v>
      </c>
      <c r="I91" s="4" t="s">
        <v>481</v>
      </c>
      <c r="J91" s="4" t="s">
        <v>25</v>
      </c>
      <c r="K91" s="4" t="s">
        <v>42</v>
      </c>
      <c r="L91" s="4" t="s">
        <v>27</v>
      </c>
      <c r="M91" s="4" t="s">
        <v>186</v>
      </c>
      <c r="N91" s="4" t="s">
        <v>29</v>
      </c>
      <c r="O91" s="16" t="s">
        <v>509</v>
      </c>
      <c r="P91" s="4" t="s">
        <v>483</v>
      </c>
      <c r="Q91" s="4" t="s">
        <v>32</v>
      </c>
    </row>
    <row r="92" ht="44" customHeight="1" spans="1:17">
      <c r="A92" s="4">
        <v>91</v>
      </c>
      <c r="B92" s="4" t="s">
        <v>510</v>
      </c>
      <c r="C92" s="4" t="s">
        <v>475</v>
      </c>
      <c r="D92" s="15" t="s">
        <v>511</v>
      </c>
      <c r="E92" s="4" t="s">
        <v>477</v>
      </c>
      <c r="F92" s="5" t="s">
        <v>478</v>
      </c>
      <c r="G92" s="5" t="s">
        <v>479</v>
      </c>
      <c r="H92" s="4" t="s">
        <v>512</v>
      </c>
      <c r="I92" s="4" t="s">
        <v>481</v>
      </c>
      <c r="J92" s="4" t="s">
        <v>25</v>
      </c>
      <c r="K92" s="4" t="s">
        <v>42</v>
      </c>
      <c r="L92" s="4" t="s">
        <v>27</v>
      </c>
      <c r="M92" s="4" t="s">
        <v>186</v>
      </c>
      <c r="N92" s="4" t="s">
        <v>29</v>
      </c>
      <c r="O92" s="16" t="s">
        <v>513</v>
      </c>
      <c r="P92" s="4" t="s">
        <v>483</v>
      </c>
      <c r="Q92" s="4" t="s">
        <v>32</v>
      </c>
    </row>
    <row r="93" ht="44" customHeight="1" spans="1:17">
      <c r="A93" s="4">
        <v>92</v>
      </c>
      <c r="B93" s="4" t="s">
        <v>514</v>
      </c>
      <c r="C93" s="4" t="s">
        <v>475</v>
      </c>
      <c r="D93" s="15" t="s">
        <v>515</v>
      </c>
      <c r="E93" s="4" t="s">
        <v>368</v>
      </c>
      <c r="F93" s="5" t="s">
        <v>369</v>
      </c>
      <c r="G93" s="5" t="s">
        <v>370</v>
      </c>
      <c r="H93" s="4" t="s">
        <v>516</v>
      </c>
      <c r="I93" s="4" t="s">
        <v>338</v>
      </c>
      <c r="J93" s="4" t="s">
        <v>25</v>
      </c>
      <c r="K93" s="4" t="s">
        <v>42</v>
      </c>
      <c r="L93" s="4" t="s">
        <v>27</v>
      </c>
      <c r="M93" s="4" t="s">
        <v>348</v>
      </c>
      <c r="N93" s="4" t="s">
        <v>29</v>
      </c>
      <c r="O93" s="16" t="s">
        <v>517</v>
      </c>
      <c r="P93" s="4" t="s">
        <v>518</v>
      </c>
      <c r="Q93" s="4" t="s">
        <v>32</v>
      </c>
    </row>
    <row r="94" ht="44" customHeight="1" spans="1:17">
      <c r="A94" s="4">
        <v>93</v>
      </c>
      <c r="B94" s="4" t="s">
        <v>519</v>
      </c>
      <c r="C94" s="4" t="s">
        <v>475</v>
      </c>
      <c r="D94" s="15" t="s">
        <v>520</v>
      </c>
      <c r="E94" s="4" t="s">
        <v>415</v>
      </c>
      <c r="F94" s="5" t="s">
        <v>416</v>
      </c>
      <c r="G94" s="5" t="s">
        <v>417</v>
      </c>
      <c r="H94" s="4" t="s">
        <v>521</v>
      </c>
      <c r="I94" s="4" t="s">
        <v>40</v>
      </c>
      <c r="J94" s="4" t="s">
        <v>426</v>
      </c>
      <c r="K94" s="4" t="s">
        <v>26</v>
      </c>
      <c r="L94" s="4" t="s">
        <v>27</v>
      </c>
      <c r="M94" s="4" t="s">
        <v>84</v>
      </c>
      <c r="N94" s="4" t="s">
        <v>29</v>
      </c>
      <c r="O94" s="16" t="s">
        <v>522</v>
      </c>
      <c r="P94" s="4" t="s">
        <v>505</v>
      </c>
      <c r="Q94" s="4" t="s">
        <v>46</v>
      </c>
    </row>
    <row r="95" ht="44" customHeight="1" spans="1:17">
      <c r="A95" s="4">
        <v>94</v>
      </c>
      <c r="B95" s="4" t="s">
        <v>523</v>
      </c>
      <c r="C95" s="4" t="s">
        <v>18</v>
      </c>
      <c r="D95" s="15" t="s">
        <v>524</v>
      </c>
      <c r="E95" s="4" t="s">
        <v>525</v>
      </c>
      <c r="F95" s="5" t="s">
        <v>152</v>
      </c>
      <c r="G95" s="5" t="s">
        <v>153</v>
      </c>
      <c r="H95" s="4" t="s">
        <v>526</v>
      </c>
      <c r="I95" s="4" t="s">
        <v>24</v>
      </c>
      <c r="J95" s="4" t="s">
        <v>25</v>
      </c>
      <c r="K95" s="4" t="s">
        <v>527</v>
      </c>
      <c r="L95" s="4" t="s">
        <v>27</v>
      </c>
      <c r="M95" s="4" t="s">
        <v>244</v>
      </c>
      <c r="N95" s="4" t="s">
        <v>29</v>
      </c>
      <c r="O95" s="16" t="s">
        <v>528</v>
      </c>
      <c r="P95" s="4" t="s">
        <v>529</v>
      </c>
      <c r="Q95" s="4" t="s">
        <v>530</v>
      </c>
    </row>
    <row r="96" ht="44" customHeight="1" spans="1:17">
      <c r="A96" s="4">
        <v>95</v>
      </c>
      <c r="B96" s="4" t="s">
        <v>531</v>
      </c>
      <c r="C96" s="4" t="s">
        <v>18</v>
      </c>
      <c r="D96" s="15" t="s">
        <v>532</v>
      </c>
      <c r="E96" s="4" t="s">
        <v>533</v>
      </c>
      <c r="F96" s="5" t="s">
        <v>21</v>
      </c>
      <c r="G96" s="5" t="s">
        <v>22</v>
      </c>
      <c r="H96" s="4" t="s">
        <v>534</v>
      </c>
      <c r="I96" s="4" t="s">
        <v>24</v>
      </c>
      <c r="J96" s="4" t="s">
        <v>25</v>
      </c>
      <c r="K96" s="4" t="s">
        <v>527</v>
      </c>
      <c r="L96" s="4" t="s">
        <v>27</v>
      </c>
      <c r="M96" s="4" t="s">
        <v>244</v>
      </c>
      <c r="N96" s="4" t="s">
        <v>29</v>
      </c>
      <c r="O96" s="16" t="s">
        <v>535</v>
      </c>
      <c r="P96" s="4" t="s">
        <v>529</v>
      </c>
      <c r="Q96" s="4" t="s">
        <v>530</v>
      </c>
    </row>
    <row r="97" ht="44" customHeight="1" spans="1:17">
      <c r="A97" s="4">
        <v>96</v>
      </c>
      <c r="B97" s="4" t="s">
        <v>536</v>
      </c>
      <c r="C97" s="4" t="s">
        <v>18</v>
      </c>
      <c r="D97" s="15" t="s">
        <v>537</v>
      </c>
      <c r="E97" s="4" t="s">
        <v>538</v>
      </c>
      <c r="F97" s="5" t="s">
        <v>152</v>
      </c>
      <c r="G97" s="5" t="s">
        <v>153</v>
      </c>
      <c r="H97" s="4" t="s">
        <v>539</v>
      </c>
      <c r="I97" s="4" t="s">
        <v>24</v>
      </c>
      <c r="J97" s="4" t="s">
        <v>25</v>
      </c>
      <c r="K97" s="4" t="s">
        <v>527</v>
      </c>
      <c r="L97" s="4" t="s">
        <v>27</v>
      </c>
      <c r="M97" s="4" t="s">
        <v>244</v>
      </c>
      <c r="N97" s="4" t="s">
        <v>29</v>
      </c>
      <c r="O97" s="16" t="s">
        <v>540</v>
      </c>
      <c r="P97" s="4" t="s">
        <v>529</v>
      </c>
      <c r="Q97" s="4" t="s">
        <v>530</v>
      </c>
    </row>
    <row r="98" ht="44" customHeight="1" spans="1:17">
      <c r="A98" s="4">
        <v>97</v>
      </c>
      <c r="B98" s="4" t="s">
        <v>541</v>
      </c>
      <c r="C98" s="4" t="s">
        <v>18</v>
      </c>
      <c r="D98" s="15" t="s">
        <v>542</v>
      </c>
      <c r="E98" s="4" t="s">
        <v>533</v>
      </c>
      <c r="F98" s="5" t="s">
        <v>21</v>
      </c>
      <c r="G98" s="5" t="s">
        <v>22</v>
      </c>
      <c r="H98" s="4" t="s">
        <v>543</v>
      </c>
      <c r="I98" s="4" t="s">
        <v>24</v>
      </c>
      <c r="J98" s="4" t="s">
        <v>25</v>
      </c>
      <c r="K98" s="4" t="s">
        <v>527</v>
      </c>
      <c r="L98" s="4" t="s">
        <v>27</v>
      </c>
      <c r="M98" s="4" t="s">
        <v>244</v>
      </c>
      <c r="N98" s="4" t="s">
        <v>29</v>
      </c>
      <c r="O98" s="16" t="s">
        <v>544</v>
      </c>
      <c r="P98" s="4" t="s">
        <v>529</v>
      </c>
      <c r="Q98" s="4" t="s">
        <v>530</v>
      </c>
    </row>
    <row r="99" ht="44" customHeight="1" spans="1:17">
      <c r="A99" s="4">
        <v>98</v>
      </c>
      <c r="B99" s="4" t="s">
        <v>545</v>
      </c>
      <c r="C99" s="4" t="s">
        <v>18</v>
      </c>
      <c r="D99" s="15" t="s">
        <v>546</v>
      </c>
      <c r="E99" s="4" t="s">
        <v>547</v>
      </c>
      <c r="F99" s="5" t="s">
        <v>495</v>
      </c>
      <c r="G99" s="5" t="s">
        <v>496</v>
      </c>
      <c r="H99" s="4" t="s">
        <v>548</v>
      </c>
      <c r="I99" s="4" t="s">
        <v>24</v>
      </c>
      <c r="J99" s="4" t="s">
        <v>25</v>
      </c>
      <c r="K99" s="4" t="s">
        <v>527</v>
      </c>
      <c r="L99" s="4" t="s">
        <v>27</v>
      </c>
      <c r="M99" s="4" t="s">
        <v>244</v>
      </c>
      <c r="N99" s="4" t="s">
        <v>29</v>
      </c>
      <c r="O99" s="16" t="s">
        <v>549</v>
      </c>
      <c r="P99" s="4" t="s">
        <v>529</v>
      </c>
      <c r="Q99" s="4" t="s">
        <v>530</v>
      </c>
    </row>
    <row r="100" ht="44" customHeight="1" spans="1:17">
      <c r="A100" s="4">
        <v>99</v>
      </c>
      <c r="B100" s="4" t="s">
        <v>550</v>
      </c>
      <c r="C100" s="4" t="s">
        <v>110</v>
      </c>
      <c r="D100" s="15" t="s">
        <v>551</v>
      </c>
      <c r="E100" s="4" t="s">
        <v>525</v>
      </c>
      <c r="F100" s="5" t="s">
        <v>152</v>
      </c>
      <c r="G100" s="5" t="s">
        <v>153</v>
      </c>
      <c r="H100" s="4" t="s">
        <v>552</v>
      </c>
      <c r="I100" s="4" t="s">
        <v>113</v>
      </c>
      <c r="J100" s="4" t="s">
        <v>25</v>
      </c>
      <c r="K100" s="4" t="s">
        <v>527</v>
      </c>
      <c r="L100" s="4" t="s">
        <v>27</v>
      </c>
      <c r="M100" s="4" t="s">
        <v>186</v>
      </c>
      <c r="N100" s="4" t="s">
        <v>29</v>
      </c>
      <c r="O100" s="16" t="s">
        <v>553</v>
      </c>
      <c r="P100" s="4" t="s">
        <v>554</v>
      </c>
      <c r="Q100" s="4" t="s">
        <v>530</v>
      </c>
    </row>
    <row r="101" ht="44" customHeight="1" spans="1:17">
      <c r="A101" s="4">
        <v>100</v>
      </c>
      <c r="B101" s="4" t="s">
        <v>555</v>
      </c>
      <c r="C101" s="4" t="s">
        <v>110</v>
      </c>
      <c r="D101" s="15" t="s">
        <v>556</v>
      </c>
      <c r="E101" s="4" t="s">
        <v>557</v>
      </c>
      <c r="F101" s="5" t="s">
        <v>478</v>
      </c>
      <c r="G101" s="5" t="s">
        <v>479</v>
      </c>
      <c r="H101" s="4" t="s">
        <v>558</v>
      </c>
      <c r="I101" s="4" t="s">
        <v>113</v>
      </c>
      <c r="J101" s="4" t="s">
        <v>25</v>
      </c>
      <c r="K101" s="4" t="s">
        <v>527</v>
      </c>
      <c r="L101" s="4" t="s">
        <v>27</v>
      </c>
      <c r="M101" s="4" t="s">
        <v>186</v>
      </c>
      <c r="N101" s="4" t="s">
        <v>29</v>
      </c>
      <c r="O101" s="16" t="s">
        <v>559</v>
      </c>
      <c r="P101" s="4" t="s">
        <v>554</v>
      </c>
      <c r="Q101" s="4" t="s">
        <v>530</v>
      </c>
    </row>
    <row r="102" ht="44" customHeight="1" spans="1:17">
      <c r="A102" s="4">
        <v>101</v>
      </c>
      <c r="B102" s="4" t="s">
        <v>560</v>
      </c>
      <c r="C102" s="4" t="s">
        <v>110</v>
      </c>
      <c r="D102" s="15" t="s">
        <v>561</v>
      </c>
      <c r="E102" s="4" t="s">
        <v>562</v>
      </c>
      <c r="F102" s="5" t="s">
        <v>446</v>
      </c>
      <c r="G102" s="5" t="s">
        <v>447</v>
      </c>
      <c r="H102" s="4" t="s">
        <v>563</v>
      </c>
      <c r="I102" s="4" t="s">
        <v>113</v>
      </c>
      <c r="J102" s="4" t="s">
        <v>25</v>
      </c>
      <c r="K102" s="4" t="s">
        <v>527</v>
      </c>
      <c r="L102" s="4" t="s">
        <v>27</v>
      </c>
      <c r="M102" s="4" t="s">
        <v>186</v>
      </c>
      <c r="N102" s="4" t="s">
        <v>29</v>
      </c>
      <c r="O102" s="16" t="s">
        <v>564</v>
      </c>
      <c r="P102" s="4" t="s">
        <v>554</v>
      </c>
      <c r="Q102" s="4" t="s">
        <v>530</v>
      </c>
    </row>
    <row r="103" ht="44" customHeight="1" spans="1:17">
      <c r="A103" s="4">
        <v>102</v>
      </c>
      <c r="B103" s="4" t="s">
        <v>565</v>
      </c>
      <c r="C103" s="4" t="s">
        <v>97</v>
      </c>
      <c r="D103" s="15" t="s">
        <v>566</v>
      </c>
      <c r="E103" s="4" t="s">
        <v>525</v>
      </c>
      <c r="F103" s="5" t="s">
        <v>152</v>
      </c>
      <c r="G103" s="5" t="s">
        <v>153</v>
      </c>
      <c r="H103" s="4" t="s">
        <v>567</v>
      </c>
      <c r="I103" s="4" t="s">
        <v>100</v>
      </c>
      <c r="J103" s="4" t="s">
        <v>25</v>
      </c>
      <c r="K103" s="4" t="s">
        <v>527</v>
      </c>
      <c r="L103" s="4" t="s">
        <v>27</v>
      </c>
      <c r="M103" s="4" t="s">
        <v>101</v>
      </c>
      <c r="N103" s="4" t="s">
        <v>29</v>
      </c>
      <c r="O103" s="16" t="s">
        <v>568</v>
      </c>
      <c r="P103" s="4" t="s">
        <v>569</v>
      </c>
      <c r="Q103" s="4" t="s">
        <v>530</v>
      </c>
    </row>
    <row r="104" ht="44" customHeight="1" spans="1:17">
      <c r="A104" s="4">
        <v>103</v>
      </c>
      <c r="B104" s="4" t="s">
        <v>570</v>
      </c>
      <c r="C104" s="4" t="s">
        <v>97</v>
      </c>
      <c r="D104" s="15" t="s">
        <v>571</v>
      </c>
      <c r="E104" s="4" t="s">
        <v>533</v>
      </c>
      <c r="F104" s="5" t="s">
        <v>21</v>
      </c>
      <c r="G104" s="5" t="s">
        <v>22</v>
      </c>
      <c r="H104" s="4" t="s">
        <v>572</v>
      </c>
      <c r="I104" s="4" t="s">
        <v>100</v>
      </c>
      <c r="J104" s="4" t="s">
        <v>25</v>
      </c>
      <c r="K104" s="4" t="s">
        <v>527</v>
      </c>
      <c r="L104" s="4" t="s">
        <v>27</v>
      </c>
      <c r="M104" s="4" t="s">
        <v>101</v>
      </c>
      <c r="N104" s="4" t="s">
        <v>29</v>
      </c>
      <c r="O104" s="16" t="s">
        <v>573</v>
      </c>
      <c r="P104" s="4" t="s">
        <v>569</v>
      </c>
      <c r="Q104" s="4" t="s">
        <v>530</v>
      </c>
    </row>
    <row r="105" ht="44" customHeight="1" spans="1:17">
      <c r="A105" s="4">
        <v>104</v>
      </c>
      <c r="B105" s="4" t="s">
        <v>574</v>
      </c>
      <c r="C105" s="4" t="s">
        <v>97</v>
      </c>
      <c r="D105" s="15" t="s">
        <v>575</v>
      </c>
      <c r="E105" s="4" t="s">
        <v>533</v>
      </c>
      <c r="F105" s="5" t="s">
        <v>21</v>
      </c>
      <c r="G105" s="5" t="s">
        <v>22</v>
      </c>
      <c r="H105" s="4" t="s">
        <v>576</v>
      </c>
      <c r="I105" s="4" t="s">
        <v>100</v>
      </c>
      <c r="J105" s="4" t="s">
        <v>25</v>
      </c>
      <c r="K105" s="4" t="s">
        <v>527</v>
      </c>
      <c r="L105" s="4" t="s">
        <v>27</v>
      </c>
      <c r="M105" s="4" t="s">
        <v>101</v>
      </c>
      <c r="N105" s="4" t="s">
        <v>29</v>
      </c>
      <c r="O105" s="16" t="s">
        <v>577</v>
      </c>
      <c r="P105" s="4" t="s">
        <v>569</v>
      </c>
      <c r="Q105" s="4" t="s">
        <v>530</v>
      </c>
    </row>
    <row r="106" ht="44" customHeight="1" spans="1:17">
      <c r="A106" s="4">
        <v>105</v>
      </c>
      <c r="B106" s="4" t="s">
        <v>578</v>
      </c>
      <c r="C106" s="4" t="s">
        <v>97</v>
      </c>
      <c r="D106" s="15" t="s">
        <v>579</v>
      </c>
      <c r="E106" s="4" t="s">
        <v>580</v>
      </c>
      <c r="F106" s="5" t="s">
        <v>416</v>
      </c>
      <c r="G106" s="5" t="s">
        <v>417</v>
      </c>
      <c r="H106" s="4" t="s">
        <v>581</v>
      </c>
      <c r="I106" s="4" t="s">
        <v>100</v>
      </c>
      <c r="J106" s="4" t="s">
        <v>25</v>
      </c>
      <c r="K106" s="4" t="s">
        <v>527</v>
      </c>
      <c r="L106" s="4" t="s">
        <v>27</v>
      </c>
      <c r="M106" s="4" t="s">
        <v>101</v>
      </c>
      <c r="N106" s="4" t="s">
        <v>29</v>
      </c>
      <c r="O106" s="16" t="s">
        <v>582</v>
      </c>
      <c r="P106" s="4" t="s">
        <v>569</v>
      </c>
      <c r="Q106" s="4" t="s">
        <v>530</v>
      </c>
    </row>
    <row r="107" ht="44" customHeight="1" spans="1:17">
      <c r="A107" s="4">
        <v>106</v>
      </c>
      <c r="B107" s="4" t="s">
        <v>583</v>
      </c>
      <c r="C107" s="4" t="s">
        <v>97</v>
      </c>
      <c r="D107" s="15" t="s">
        <v>584</v>
      </c>
      <c r="E107" s="4" t="s">
        <v>547</v>
      </c>
      <c r="F107" s="5" t="s">
        <v>495</v>
      </c>
      <c r="G107" s="5" t="s">
        <v>496</v>
      </c>
      <c r="H107" s="4" t="s">
        <v>585</v>
      </c>
      <c r="I107" s="4" t="s">
        <v>100</v>
      </c>
      <c r="J107" s="4" t="s">
        <v>25</v>
      </c>
      <c r="K107" s="4" t="s">
        <v>527</v>
      </c>
      <c r="L107" s="4" t="s">
        <v>27</v>
      </c>
      <c r="M107" s="4" t="s">
        <v>101</v>
      </c>
      <c r="N107" s="4" t="s">
        <v>29</v>
      </c>
      <c r="O107" s="16" t="s">
        <v>586</v>
      </c>
      <c r="P107" s="4" t="s">
        <v>569</v>
      </c>
      <c r="Q107" s="4" t="s">
        <v>530</v>
      </c>
    </row>
    <row r="108" ht="44" customHeight="1" spans="1:17">
      <c r="A108" s="4">
        <v>107</v>
      </c>
      <c r="B108" s="4" t="s">
        <v>587</v>
      </c>
      <c r="C108" s="4" t="s">
        <v>97</v>
      </c>
      <c r="D108" s="15" t="s">
        <v>588</v>
      </c>
      <c r="E108" s="4" t="s">
        <v>589</v>
      </c>
      <c r="F108" s="5" t="s">
        <v>478</v>
      </c>
      <c r="G108" s="5" t="s">
        <v>479</v>
      </c>
      <c r="H108" s="4" t="s">
        <v>590</v>
      </c>
      <c r="I108" s="4" t="s">
        <v>100</v>
      </c>
      <c r="J108" s="4" t="s">
        <v>25</v>
      </c>
      <c r="K108" s="4" t="s">
        <v>527</v>
      </c>
      <c r="L108" s="4" t="s">
        <v>27</v>
      </c>
      <c r="M108" s="4" t="s">
        <v>101</v>
      </c>
      <c r="N108" s="4" t="s">
        <v>29</v>
      </c>
      <c r="O108" s="16" t="s">
        <v>591</v>
      </c>
      <c r="P108" s="4" t="s">
        <v>569</v>
      </c>
      <c r="Q108" s="4" t="s">
        <v>530</v>
      </c>
    </row>
    <row r="109" ht="44" customHeight="1" spans="1:17">
      <c r="A109" s="4">
        <v>108</v>
      </c>
      <c r="B109" s="4" t="s">
        <v>592</v>
      </c>
      <c r="C109" s="4" t="s">
        <v>252</v>
      </c>
      <c r="D109" s="15" t="s">
        <v>593</v>
      </c>
      <c r="E109" s="4" t="s">
        <v>594</v>
      </c>
      <c r="F109" s="5" t="s">
        <v>446</v>
      </c>
      <c r="G109" s="5" t="s">
        <v>447</v>
      </c>
      <c r="H109" s="4" t="s">
        <v>595</v>
      </c>
      <c r="I109" s="4" t="s">
        <v>201</v>
      </c>
      <c r="J109" s="4" t="s">
        <v>25</v>
      </c>
      <c r="K109" s="4" t="s">
        <v>527</v>
      </c>
      <c r="L109" s="4" t="s">
        <v>27</v>
      </c>
      <c r="M109" s="4" t="s">
        <v>186</v>
      </c>
      <c r="N109" s="4" t="s">
        <v>29</v>
      </c>
      <c r="O109" s="16" t="s">
        <v>596</v>
      </c>
      <c r="P109" s="4" t="s">
        <v>597</v>
      </c>
      <c r="Q109" s="4" t="s">
        <v>530</v>
      </c>
    </row>
    <row r="110" ht="44" customHeight="1" spans="1:17">
      <c r="A110" s="4">
        <v>109</v>
      </c>
      <c r="B110" s="4" t="s">
        <v>598</v>
      </c>
      <c r="C110" s="4" t="s">
        <v>252</v>
      </c>
      <c r="D110" s="15" t="s">
        <v>599</v>
      </c>
      <c r="E110" s="4" t="s">
        <v>538</v>
      </c>
      <c r="F110" s="5" t="s">
        <v>152</v>
      </c>
      <c r="G110" s="5" t="s">
        <v>153</v>
      </c>
      <c r="H110" s="4" t="s">
        <v>600</v>
      </c>
      <c r="I110" s="4" t="s">
        <v>201</v>
      </c>
      <c r="J110" s="4" t="s">
        <v>25</v>
      </c>
      <c r="K110" s="4" t="s">
        <v>527</v>
      </c>
      <c r="L110" s="4" t="s">
        <v>27</v>
      </c>
      <c r="M110" s="4" t="s">
        <v>186</v>
      </c>
      <c r="N110" s="4" t="s">
        <v>29</v>
      </c>
      <c r="O110" s="16" t="s">
        <v>601</v>
      </c>
      <c r="P110" s="4" t="s">
        <v>597</v>
      </c>
      <c r="Q110" s="4" t="s">
        <v>530</v>
      </c>
    </row>
    <row r="111" ht="44" customHeight="1" spans="1:17">
      <c r="A111" s="4">
        <v>110</v>
      </c>
      <c r="B111" s="4" t="s">
        <v>602</v>
      </c>
      <c r="C111" s="4" t="s">
        <v>252</v>
      </c>
      <c r="D111" s="15" t="s">
        <v>603</v>
      </c>
      <c r="E111" s="4" t="s">
        <v>533</v>
      </c>
      <c r="F111" s="5" t="s">
        <v>21</v>
      </c>
      <c r="G111" s="5" t="s">
        <v>22</v>
      </c>
      <c r="H111" s="4" t="s">
        <v>604</v>
      </c>
      <c r="I111" s="4" t="s">
        <v>201</v>
      </c>
      <c r="J111" s="4" t="s">
        <v>25</v>
      </c>
      <c r="K111" s="4" t="s">
        <v>527</v>
      </c>
      <c r="L111" s="4" t="s">
        <v>27</v>
      </c>
      <c r="M111" s="4" t="s">
        <v>186</v>
      </c>
      <c r="N111" s="4" t="s">
        <v>29</v>
      </c>
      <c r="O111" s="16" t="s">
        <v>605</v>
      </c>
      <c r="P111" s="4" t="s">
        <v>597</v>
      </c>
      <c r="Q111" s="4" t="s">
        <v>530</v>
      </c>
    </row>
    <row r="112" ht="44" customHeight="1" spans="1:17">
      <c r="A112" s="4">
        <v>111</v>
      </c>
      <c r="B112" s="4" t="s">
        <v>606</v>
      </c>
      <c r="C112" s="4" t="s">
        <v>252</v>
      </c>
      <c r="D112" s="15" t="s">
        <v>607</v>
      </c>
      <c r="E112" s="4" t="s">
        <v>533</v>
      </c>
      <c r="F112" s="5" t="s">
        <v>21</v>
      </c>
      <c r="G112" s="5" t="s">
        <v>22</v>
      </c>
      <c r="H112" s="4" t="s">
        <v>608</v>
      </c>
      <c r="I112" s="4" t="s">
        <v>201</v>
      </c>
      <c r="J112" s="4" t="s">
        <v>25</v>
      </c>
      <c r="K112" s="4" t="s">
        <v>527</v>
      </c>
      <c r="L112" s="4" t="s">
        <v>27</v>
      </c>
      <c r="M112" s="4" t="s">
        <v>186</v>
      </c>
      <c r="N112" s="4" t="s">
        <v>29</v>
      </c>
      <c r="O112" s="16" t="s">
        <v>609</v>
      </c>
      <c r="P112" s="4" t="s">
        <v>597</v>
      </c>
      <c r="Q112" s="4" t="s">
        <v>530</v>
      </c>
    </row>
    <row r="113" ht="44" customHeight="1" spans="1:17">
      <c r="A113" s="4">
        <v>112</v>
      </c>
      <c r="B113" s="4" t="s">
        <v>610</v>
      </c>
      <c r="C113" s="4" t="s">
        <v>443</v>
      </c>
      <c r="D113" s="15" t="s">
        <v>611</v>
      </c>
      <c r="E113" s="4" t="s">
        <v>612</v>
      </c>
      <c r="F113" s="5" t="s">
        <v>446</v>
      </c>
      <c r="G113" s="5" t="s">
        <v>447</v>
      </c>
      <c r="H113" s="4" t="s">
        <v>613</v>
      </c>
      <c r="I113" s="4" t="s">
        <v>319</v>
      </c>
      <c r="J113" s="4" t="s">
        <v>25</v>
      </c>
      <c r="K113" s="4" t="s">
        <v>527</v>
      </c>
      <c r="L113" s="4" t="s">
        <v>614</v>
      </c>
      <c r="M113" s="4" t="s">
        <v>84</v>
      </c>
      <c r="N113" s="4" t="s">
        <v>29</v>
      </c>
      <c r="O113" s="16" t="s">
        <v>615</v>
      </c>
      <c r="P113" s="4" t="s">
        <v>616</v>
      </c>
      <c r="Q113" s="4" t="s">
        <v>530</v>
      </c>
    </row>
    <row r="114" ht="44" customHeight="1" spans="1:17">
      <c r="A114" s="4">
        <v>113</v>
      </c>
      <c r="B114" s="4" t="s">
        <v>617</v>
      </c>
      <c r="C114" s="4" t="s">
        <v>443</v>
      </c>
      <c r="D114" s="15" t="s">
        <v>618</v>
      </c>
      <c r="E114" s="4" t="s">
        <v>619</v>
      </c>
      <c r="F114" s="5" t="s">
        <v>446</v>
      </c>
      <c r="G114" s="5" t="s">
        <v>447</v>
      </c>
      <c r="H114" s="4" t="s">
        <v>620</v>
      </c>
      <c r="I114" s="4" t="s">
        <v>319</v>
      </c>
      <c r="J114" s="4" t="s">
        <v>25</v>
      </c>
      <c r="K114" s="4" t="s">
        <v>527</v>
      </c>
      <c r="L114" s="4" t="s">
        <v>614</v>
      </c>
      <c r="M114" s="4" t="s">
        <v>84</v>
      </c>
      <c r="N114" s="4" t="s">
        <v>29</v>
      </c>
      <c r="O114" s="16" t="s">
        <v>621</v>
      </c>
      <c r="P114" s="4" t="s">
        <v>616</v>
      </c>
      <c r="Q114" s="4" t="s">
        <v>530</v>
      </c>
    </row>
    <row r="115" ht="44" customHeight="1" spans="1:17">
      <c r="A115" s="4">
        <v>114</v>
      </c>
      <c r="B115" s="4" t="s">
        <v>622</v>
      </c>
      <c r="C115" s="4" t="s">
        <v>443</v>
      </c>
      <c r="D115" s="15" t="s">
        <v>623</v>
      </c>
      <c r="E115" s="4" t="s">
        <v>624</v>
      </c>
      <c r="F115" s="5" t="s">
        <v>446</v>
      </c>
      <c r="G115" s="5" t="s">
        <v>447</v>
      </c>
      <c r="H115" s="4" t="s">
        <v>625</v>
      </c>
      <c r="I115" s="4" t="s">
        <v>319</v>
      </c>
      <c r="J115" s="4" t="s">
        <v>25</v>
      </c>
      <c r="K115" s="4" t="s">
        <v>527</v>
      </c>
      <c r="L115" s="4" t="s">
        <v>27</v>
      </c>
      <c r="M115" s="4" t="s">
        <v>84</v>
      </c>
      <c r="N115" s="4" t="s">
        <v>29</v>
      </c>
      <c r="O115" s="16" t="s">
        <v>626</v>
      </c>
      <c r="P115" s="4" t="s">
        <v>616</v>
      </c>
      <c r="Q115" s="4" t="s">
        <v>530</v>
      </c>
    </row>
    <row r="116" ht="44" customHeight="1" spans="1:17">
      <c r="A116" s="4">
        <v>115</v>
      </c>
      <c r="B116" s="4" t="s">
        <v>627</v>
      </c>
      <c r="C116" s="4" t="s">
        <v>443</v>
      </c>
      <c r="D116" s="15" t="s">
        <v>628</v>
      </c>
      <c r="E116" s="4" t="s">
        <v>612</v>
      </c>
      <c r="F116" s="5" t="s">
        <v>446</v>
      </c>
      <c r="G116" s="5" t="s">
        <v>447</v>
      </c>
      <c r="H116" s="4" t="s">
        <v>629</v>
      </c>
      <c r="I116" s="4" t="s">
        <v>319</v>
      </c>
      <c r="J116" s="4" t="s">
        <v>25</v>
      </c>
      <c r="K116" s="4" t="s">
        <v>527</v>
      </c>
      <c r="L116" s="4" t="s">
        <v>27</v>
      </c>
      <c r="M116" s="4" t="s">
        <v>84</v>
      </c>
      <c r="N116" s="4" t="s">
        <v>29</v>
      </c>
      <c r="O116" s="16" t="s">
        <v>630</v>
      </c>
      <c r="P116" s="4" t="s">
        <v>616</v>
      </c>
      <c r="Q116" s="4" t="s">
        <v>530</v>
      </c>
    </row>
    <row r="117" ht="44" customHeight="1" spans="1:17">
      <c r="A117" s="4">
        <v>116</v>
      </c>
      <c r="B117" s="4" t="s">
        <v>631</v>
      </c>
      <c r="C117" s="4" t="s">
        <v>443</v>
      </c>
      <c r="D117" s="15" t="s">
        <v>632</v>
      </c>
      <c r="E117" s="4" t="s">
        <v>633</v>
      </c>
      <c r="F117" s="5" t="s">
        <v>369</v>
      </c>
      <c r="G117" s="5" t="s">
        <v>370</v>
      </c>
      <c r="H117" s="4" t="s">
        <v>634</v>
      </c>
      <c r="I117" s="4" t="s">
        <v>319</v>
      </c>
      <c r="J117" s="4" t="s">
        <v>25</v>
      </c>
      <c r="K117" s="4" t="s">
        <v>527</v>
      </c>
      <c r="L117" s="4" t="s">
        <v>27</v>
      </c>
      <c r="M117" s="4" t="s">
        <v>84</v>
      </c>
      <c r="N117" s="4" t="s">
        <v>29</v>
      </c>
      <c r="O117" s="16" t="s">
        <v>635</v>
      </c>
      <c r="P117" s="4" t="s">
        <v>616</v>
      </c>
      <c r="Q117" s="4" t="s">
        <v>530</v>
      </c>
    </row>
    <row r="118" ht="44" customHeight="1" spans="1:17">
      <c r="A118" s="4">
        <v>117</v>
      </c>
      <c r="B118" s="4" t="s">
        <v>636</v>
      </c>
      <c r="C118" s="4" t="s">
        <v>443</v>
      </c>
      <c r="D118" s="15" t="s">
        <v>637</v>
      </c>
      <c r="E118" s="4" t="s">
        <v>638</v>
      </c>
      <c r="F118" s="5" t="s">
        <v>316</v>
      </c>
      <c r="G118" s="5" t="s">
        <v>317</v>
      </c>
      <c r="H118" s="4" t="s">
        <v>639</v>
      </c>
      <c r="I118" s="4" t="s">
        <v>319</v>
      </c>
      <c r="J118" s="4" t="s">
        <v>25</v>
      </c>
      <c r="K118" s="4" t="s">
        <v>527</v>
      </c>
      <c r="L118" s="4" t="s">
        <v>27</v>
      </c>
      <c r="M118" s="4" t="s">
        <v>84</v>
      </c>
      <c r="N118" s="4" t="s">
        <v>29</v>
      </c>
      <c r="O118" s="16" t="s">
        <v>640</v>
      </c>
      <c r="P118" s="4" t="s">
        <v>616</v>
      </c>
      <c r="Q118" s="4" t="s">
        <v>530</v>
      </c>
    </row>
    <row r="119" ht="44" customHeight="1" spans="1:17">
      <c r="A119" s="4">
        <v>118</v>
      </c>
      <c r="B119" s="4" t="s">
        <v>641</v>
      </c>
      <c r="C119" s="4" t="s">
        <v>443</v>
      </c>
      <c r="D119" s="15" t="s">
        <v>642</v>
      </c>
      <c r="E119" s="4" t="s">
        <v>643</v>
      </c>
      <c r="F119" s="5" t="s">
        <v>644</v>
      </c>
      <c r="G119" s="5" t="s">
        <v>645</v>
      </c>
      <c r="H119" s="4" t="s">
        <v>646</v>
      </c>
      <c r="I119" s="4" t="s">
        <v>319</v>
      </c>
      <c r="J119" s="4" t="s">
        <v>25</v>
      </c>
      <c r="K119" s="4" t="s">
        <v>527</v>
      </c>
      <c r="L119" s="4" t="s">
        <v>647</v>
      </c>
      <c r="M119" s="4" t="s">
        <v>84</v>
      </c>
      <c r="N119" s="4" t="s">
        <v>29</v>
      </c>
      <c r="O119" s="16" t="s">
        <v>648</v>
      </c>
      <c r="P119" s="4" t="s">
        <v>616</v>
      </c>
      <c r="Q119" s="4" t="s">
        <v>530</v>
      </c>
    </row>
    <row r="120" ht="44" customHeight="1" spans="1:17">
      <c r="A120" s="4">
        <v>119</v>
      </c>
      <c r="B120" s="4" t="s">
        <v>649</v>
      </c>
      <c r="C120" s="4" t="s">
        <v>443</v>
      </c>
      <c r="D120" s="15" t="s">
        <v>650</v>
      </c>
      <c r="E120" s="4" t="s">
        <v>651</v>
      </c>
      <c r="F120" s="5" t="s">
        <v>644</v>
      </c>
      <c r="G120" s="5" t="s">
        <v>645</v>
      </c>
      <c r="H120" s="4" t="s">
        <v>652</v>
      </c>
      <c r="I120" s="4" t="s">
        <v>319</v>
      </c>
      <c r="J120" s="4" t="s">
        <v>25</v>
      </c>
      <c r="K120" s="4" t="s">
        <v>527</v>
      </c>
      <c r="L120" s="4" t="s">
        <v>614</v>
      </c>
      <c r="M120" s="4" t="s">
        <v>84</v>
      </c>
      <c r="N120" s="4" t="s">
        <v>29</v>
      </c>
      <c r="O120" s="16" t="s">
        <v>653</v>
      </c>
      <c r="P120" s="4" t="s">
        <v>616</v>
      </c>
      <c r="Q120" s="4" t="s">
        <v>530</v>
      </c>
    </row>
    <row r="121" ht="44" customHeight="1" spans="1:17">
      <c r="A121" s="4">
        <v>120</v>
      </c>
      <c r="B121" s="4" t="s">
        <v>654</v>
      </c>
      <c r="C121" s="4" t="s">
        <v>413</v>
      </c>
      <c r="D121" s="15" t="s">
        <v>655</v>
      </c>
      <c r="E121" s="4" t="s">
        <v>656</v>
      </c>
      <c r="F121" s="5" t="s">
        <v>416</v>
      </c>
      <c r="G121" s="5" t="s">
        <v>417</v>
      </c>
      <c r="H121" s="4" t="s">
        <v>657</v>
      </c>
      <c r="I121" s="4" t="s">
        <v>419</v>
      </c>
      <c r="J121" s="4" t="s">
        <v>25</v>
      </c>
      <c r="K121" s="4" t="s">
        <v>527</v>
      </c>
      <c r="L121" s="4" t="s">
        <v>27</v>
      </c>
      <c r="M121" s="4" t="s">
        <v>84</v>
      </c>
      <c r="N121" s="4" t="s">
        <v>29</v>
      </c>
      <c r="O121" s="16" t="s">
        <v>658</v>
      </c>
      <c r="P121" s="4" t="s">
        <v>659</v>
      </c>
      <c r="Q121" s="4" t="s">
        <v>530</v>
      </c>
    </row>
    <row r="122" ht="44" customHeight="1" spans="1:17">
      <c r="A122" s="4">
        <v>121</v>
      </c>
      <c r="B122" s="4" t="s">
        <v>660</v>
      </c>
      <c r="C122" s="4" t="s">
        <v>413</v>
      </c>
      <c r="D122" s="15" t="s">
        <v>661</v>
      </c>
      <c r="E122" s="4" t="s">
        <v>662</v>
      </c>
      <c r="F122" s="5" t="s">
        <v>446</v>
      </c>
      <c r="G122" s="5" t="s">
        <v>447</v>
      </c>
      <c r="H122" s="4" t="s">
        <v>663</v>
      </c>
      <c r="I122" s="4" t="s">
        <v>419</v>
      </c>
      <c r="J122" s="4" t="s">
        <v>25</v>
      </c>
      <c r="K122" s="4" t="s">
        <v>527</v>
      </c>
      <c r="L122" s="4" t="s">
        <v>27</v>
      </c>
      <c r="M122" s="4" t="s">
        <v>84</v>
      </c>
      <c r="N122" s="4" t="s">
        <v>29</v>
      </c>
      <c r="O122" s="16" t="s">
        <v>664</v>
      </c>
      <c r="P122" s="4" t="s">
        <v>659</v>
      </c>
      <c r="Q122" s="4" t="s">
        <v>530</v>
      </c>
    </row>
    <row r="123" ht="44" customHeight="1" spans="1:17">
      <c r="A123" s="4">
        <v>122</v>
      </c>
      <c r="B123" s="4" t="s">
        <v>665</v>
      </c>
      <c r="C123" s="4" t="s">
        <v>413</v>
      </c>
      <c r="D123" s="15" t="s">
        <v>666</v>
      </c>
      <c r="E123" s="4" t="s">
        <v>667</v>
      </c>
      <c r="F123" s="5" t="s">
        <v>369</v>
      </c>
      <c r="G123" s="5" t="s">
        <v>370</v>
      </c>
      <c r="H123" s="4" t="s">
        <v>668</v>
      </c>
      <c r="I123" s="4" t="s">
        <v>419</v>
      </c>
      <c r="J123" s="4" t="s">
        <v>25</v>
      </c>
      <c r="K123" s="4" t="s">
        <v>527</v>
      </c>
      <c r="L123" s="4" t="s">
        <v>27</v>
      </c>
      <c r="M123" s="4" t="s">
        <v>84</v>
      </c>
      <c r="N123" s="4" t="s">
        <v>29</v>
      </c>
      <c r="O123" s="16" t="s">
        <v>669</v>
      </c>
      <c r="P123" s="4" t="s">
        <v>659</v>
      </c>
      <c r="Q123" s="4" t="s">
        <v>530</v>
      </c>
    </row>
    <row r="124" ht="44" customHeight="1" spans="1:17">
      <c r="A124" s="4">
        <v>123</v>
      </c>
      <c r="B124" s="4" t="s">
        <v>670</v>
      </c>
      <c r="C124" s="4" t="s">
        <v>413</v>
      </c>
      <c r="D124" s="15" t="s">
        <v>671</v>
      </c>
      <c r="E124" s="4" t="s">
        <v>672</v>
      </c>
      <c r="F124" s="5" t="s">
        <v>416</v>
      </c>
      <c r="G124" s="5" t="s">
        <v>417</v>
      </c>
      <c r="H124" s="4" t="s">
        <v>673</v>
      </c>
      <c r="I124" s="4" t="s">
        <v>419</v>
      </c>
      <c r="J124" s="4" t="s">
        <v>25</v>
      </c>
      <c r="K124" s="4" t="s">
        <v>527</v>
      </c>
      <c r="L124" s="4" t="s">
        <v>27</v>
      </c>
      <c r="M124" s="4" t="s">
        <v>84</v>
      </c>
      <c r="N124" s="4" t="s">
        <v>29</v>
      </c>
      <c r="O124" s="16" t="s">
        <v>674</v>
      </c>
      <c r="P124" s="4" t="s">
        <v>659</v>
      </c>
      <c r="Q124" s="4" t="s">
        <v>530</v>
      </c>
    </row>
    <row r="125" ht="44" customHeight="1" spans="1:17">
      <c r="A125" s="4">
        <v>124</v>
      </c>
      <c r="B125" s="4" t="s">
        <v>675</v>
      </c>
      <c r="C125" s="4" t="s">
        <v>366</v>
      </c>
      <c r="D125" s="15" t="s">
        <v>676</v>
      </c>
      <c r="E125" s="4" t="s">
        <v>677</v>
      </c>
      <c r="F125" s="5" t="s">
        <v>369</v>
      </c>
      <c r="G125" s="5" t="s">
        <v>370</v>
      </c>
      <c r="H125" s="4" t="s">
        <v>678</v>
      </c>
      <c r="I125" s="4" t="s">
        <v>372</v>
      </c>
      <c r="J125" s="4" t="s">
        <v>25</v>
      </c>
      <c r="K125" s="4" t="s">
        <v>527</v>
      </c>
      <c r="L125" s="4" t="s">
        <v>27</v>
      </c>
      <c r="M125" s="4" t="s">
        <v>84</v>
      </c>
      <c r="N125" s="4" t="s">
        <v>29</v>
      </c>
      <c r="O125" s="16" t="s">
        <v>679</v>
      </c>
      <c r="P125" s="4" t="s">
        <v>680</v>
      </c>
      <c r="Q125" s="4" t="s">
        <v>530</v>
      </c>
    </row>
    <row r="126" ht="44" customHeight="1" spans="1:17">
      <c r="A126" s="4">
        <v>125</v>
      </c>
      <c r="B126" s="4" t="s">
        <v>681</v>
      </c>
      <c r="C126" s="4" t="s">
        <v>366</v>
      </c>
      <c r="D126" s="15" t="s">
        <v>682</v>
      </c>
      <c r="E126" s="4" t="s">
        <v>683</v>
      </c>
      <c r="F126" s="5" t="s">
        <v>369</v>
      </c>
      <c r="G126" s="5" t="s">
        <v>370</v>
      </c>
      <c r="H126" s="4" t="s">
        <v>684</v>
      </c>
      <c r="I126" s="4" t="s">
        <v>372</v>
      </c>
      <c r="J126" s="4" t="s">
        <v>25</v>
      </c>
      <c r="K126" s="4" t="s">
        <v>527</v>
      </c>
      <c r="L126" s="4" t="s">
        <v>27</v>
      </c>
      <c r="M126" s="4" t="s">
        <v>84</v>
      </c>
      <c r="N126" s="4" t="s">
        <v>29</v>
      </c>
      <c r="O126" s="16" t="s">
        <v>685</v>
      </c>
      <c r="P126" s="4" t="s">
        <v>680</v>
      </c>
      <c r="Q126" s="4" t="s">
        <v>530</v>
      </c>
    </row>
    <row r="127" ht="44" customHeight="1" spans="1:17">
      <c r="A127" s="4">
        <v>126</v>
      </c>
      <c r="B127" s="4" t="s">
        <v>686</v>
      </c>
      <c r="C127" s="4" t="s">
        <v>366</v>
      </c>
      <c r="D127" s="15" t="s">
        <v>687</v>
      </c>
      <c r="E127" s="4" t="s">
        <v>688</v>
      </c>
      <c r="F127" s="5" t="s">
        <v>369</v>
      </c>
      <c r="G127" s="5" t="s">
        <v>370</v>
      </c>
      <c r="H127" s="4" t="s">
        <v>689</v>
      </c>
      <c r="I127" s="4" t="s">
        <v>372</v>
      </c>
      <c r="J127" s="4" t="s">
        <v>25</v>
      </c>
      <c r="K127" s="4" t="s">
        <v>527</v>
      </c>
      <c r="L127" s="4" t="s">
        <v>27</v>
      </c>
      <c r="M127" s="4" t="s">
        <v>84</v>
      </c>
      <c r="N127" s="4" t="s">
        <v>29</v>
      </c>
      <c r="O127" s="16" t="s">
        <v>690</v>
      </c>
      <c r="P127" s="4" t="s">
        <v>680</v>
      </c>
      <c r="Q127" s="4" t="s">
        <v>530</v>
      </c>
    </row>
    <row r="128" ht="44" customHeight="1" spans="1:17">
      <c r="A128" s="4">
        <v>127</v>
      </c>
      <c r="B128" s="4" t="s">
        <v>691</v>
      </c>
      <c r="C128" s="4" t="s">
        <v>366</v>
      </c>
      <c r="D128" s="15" t="s">
        <v>692</v>
      </c>
      <c r="E128" s="4" t="s">
        <v>677</v>
      </c>
      <c r="F128" s="5" t="s">
        <v>369</v>
      </c>
      <c r="G128" s="5" t="s">
        <v>370</v>
      </c>
      <c r="H128" s="4" t="s">
        <v>693</v>
      </c>
      <c r="I128" s="4" t="s">
        <v>372</v>
      </c>
      <c r="J128" s="4" t="s">
        <v>25</v>
      </c>
      <c r="K128" s="4" t="s">
        <v>527</v>
      </c>
      <c r="L128" s="4" t="s">
        <v>27</v>
      </c>
      <c r="M128" s="4" t="s">
        <v>84</v>
      </c>
      <c r="N128" s="4" t="s">
        <v>29</v>
      </c>
      <c r="O128" s="16" t="s">
        <v>694</v>
      </c>
      <c r="P128" s="4" t="s">
        <v>680</v>
      </c>
      <c r="Q128" s="4" t="s">
        <v>530</v>
      </c>
    </row>
    <row r="129" ht="44" customHeight="1" spans="1:17">
      <c r="A129" s="4">
        <v>128</v>
      </c>
      <c r="B129" s="4" t="s">
        <v>695</v>
      </c>
      <c r="C129" s="4" t="s">
        <v>323</v>
      </c>
      <c r="D129" s="15" t="s">
        <v>696</v>
      </c>
      <c r="E129" s="4" t="s">
        <v>697</v>
      </c>
      <c r="F129" s="5" t="s">
        <v>345</v>
      </c>
      <c r="G129" s="5" t="s">
        <v>346</v>
      </c>
      <c r="H129" s="4" t="s">
        <v>698</v>
      </c>
      <c r="I129" s="4" t="s">
        <v>338</v>
      </c>
      <c r="J129" s="4" t="s">
        <v>25</v>
      </c>
      <c r="K129" s="4" t="s">
        <v>527</v>
      </c>
      <c r="L129" s="4" t="s">
        <v>27</v>
      </c>
      <c r="M129" s="4" t="s">
        <v>348</v>
      </c>
      <c r="N129" s="4" t="s">
        <v>29</v>
      </c>
      <c r="O129" s="16" t="s">
        <v>699</v>
      </c>
      <c r="P129" s="4" t="s">
        <v>700</v>
      </c>
      <c r="Q129" s="4" t="s">
        <v>530</v>
      </c>
    </row>
    <row r="130" ht="44" customHeight="1" spans="1:17">
      <c r="A130" s="4">
        <v>129</v>
      </c>
      <c r="B130" s="4" t="s">
        <v>701</v>
      </c>
      <c r="C130" s="4" t="s">
        <v>323</v>
      </c>
      <c r="D130" s="15" t="s">
        <v>702</v>
      </c>
      <c r="E130" s="4" t="s">
        <v>703</v>
      </c>
      <c r="F130" s="5" t="s">
        <v>335</v>
      </c>
      <c r="G130" s="5" t="s">
        <v>336</v>
      </c>
      <c r="H130" s="4" t="s">
        <v>704</v>
      </c>
      <c r="I130" s="4" t="s">
        <v>338</v>
      </c>
      <c r="J130" s="4" t="s">
        <v>25</v>
      </c>
      <c r="K130" s="4" t="s">
        <v>527</v>
      </c>
      <c r="L130" s="4" t="s">
        <v>27</v>
      </c>
      <c r="M130" s="4" t="s">
        <v>348</v>
      </c>
      <c r="N130" s="4" t="s">
        <v>29</v>
      </c>
      <c r="O130" s="16" t="s">
        <v>705</v>
      </c>
      <c r="P130" s="4" t="s">
        <v>700</v>
      </c>
      <c r="Q130" s="4" t="s">
        <v>530</v>
      </c>
    </row>
    <row r="131" ht="44" customHeight="1" spans="1:17">
      <c r="A131" s="4">
        <v>130</v>
      </c>
      <c r="B131" s="4" t="s">
        <v>706</v>
      </c>
      <c r="C131" s="4" t="s">
        <v>323</v>
      </c>
      <c r="D131" s="15" t="s">
        <v>707</v>
      </c>
      <c r="E131" s="4" t="s">
        <v>708</v>
      </c>
      <c r="F131" s="5" t="s">
        <v>345</v>
      </c>
      <c r="G131" s="5" t="s">
        <v>346</v>
      </c>
      <c r="H131" s="4" t="s">
        <v>709</v>
      </c>
      <c r="I131" s="4" t="s">
        <v>338</v>
      </c>
      <c r="J131" s="4" t="s">
        <v>25</v>
      </c>
      <c r="K131" s="4" t="s">
        <v>527</v>
      </c>
      <c r="L131" s="4" t="s">
        <v>27</v>
      </c>
      <c r="M131" s="4" t="s">
        <v>348</v>
      </c>
      <c r="N131" s="4" t="s">
        <v>29</v>
      </c>
      <c r="O131" s="16" t="s">
        <v>710</v>
      </c>
      <c r="P131" s="4" t="s">
        <v>700</v>
      </c>
      <c r="Q131" s="4" t="s">
        <v>530</v>
      </c>
    </row>
    <row r="132" ht="44" customHeight="1" spans="1:17">
      <c r="A132" s="4">
        <v>131</v>
      </c>
      <c r="B132" s="4" t="s">
        <v>711</v>
      </c>
      <c r="C132" s="4" t="s">
        <v>323</v>
      </c>
      <c r="D132" s="15" t="s">
        <v>712</v>
      </c>
      <c r="E132" s="4" t="s">
        <v>703</v>
      </c>
      <c r="F132" s="5" t="s">
        <v>335</v>
      </c>
      <c r="G132" s="5" t="s">
        <v>336</v>
      </c>
      <c r="H132" s="4" t="s">
        <v>713</v>
      </c>
      <c r="I132" s="4" t="s">
        <v>338</v>
      </c>
      <c r="J132" s="4" t="s">
        <v>25</v>
      </c>
      <c r="K132" s="4" t="s">
        <v>527</v>
      </c>
      <c r="L132" s="4" t="s">
        <v>27</v>
      </c>
      <c r="M132" s="4" t="s">
        <v>348</v>
      </c>
      <c r="N132" s="4" t="s">
        <v>29</v>
      </c>
      <c r="O132" s="16" t="s">
        <v>714</v>
      </c>
      <c r="P132" s="4" t="s">
        <v>700</v>
      </c>
      <c r="Q132" s="4" t="s">
        <v>530</v>
      </c>
    </row>
    <row r="133" ht="44" customHeight="1" spans="1:17">
      <c r="A133" s="4">
        <v>132</v>
      </c>
      <c r="B133" s="4" t="s">
        <v>715</v>
      </c>
      <c r="C133" s="4" t="s">
        <v>323</v>
      </c>
      <c r="D133" s="15" t="s">
        <v>716</v>
      </c>
      <c r="E133" s="4" t="s">
        <v>717</v>
      </c>
      <c r="F133" s="5" t="s">
        <v>345</v>
      </c>
      <c r="G133" s="5" t="s">
        <v>346</v>
      </c>
      <c r="H133" s="4" t="s">
        <v>718</v>
      </c>
      <c r="I133" s="4" t="s">
        <v>338</v>
      </c>
      <c r="J133" s="4" t="s">
        <v>25</v>
      </c>
      <c r="K133" s="4" t="s">
        <v>527</v>
      </c>
      <c r="L133" s="4" t="s">
        <v>27</v>
      </c>
      <c r="M133" s="4" t="s">
        <v>348</v>
      </c>
      <c r="N133" s="4" t="s">
        <v>29</v>
      </c>
      <c r="O133" s="16" t="s">
        <v>719</v>
      </c>
      <c r="P133" s="4" t="s">
        <v>700</v>
      </c>
      <c r="Q133" s="4" t="s">
        <v>530</v>
      </c>
    </row>
    <row r="134" ht="44" customHeight="1" spans="1:17">
      <c r="A134" s="4">
        <v>133</v>
      </c>
      <c r="B134" s="4" t="s">
        <v>720</v>
      </c>
      <c r="C134" s="4" t="s">
        <v>475</v>
      </c>
      <c r="D134" s="15" t="s">
        <v>721</v>
      </c>
      <c r="E134" s="4" t="s">
        <v>589</v>
      </c>
      <c r="F134" s="5" t="s">
        <v>478</v>
      </c>
      <c r="G134" s="5" t="s">
        <v>479</v>
      </c>
      <c r="H134" s="4" t="s">
        <v>722</v>
      </c>
      <c r="I134" s="4" t="s">
        <v>481</v>
      </c>
      <c r="J134" s="4" t="s">
        <v>25</v>
      </c>
      <c r="K134" s="4" t="s">
        <v>527</v>
      </c>
      <c r="L134" s="4" t="s">
        <v>27</v>
      </c>
      <c r="M134" s="4" t="s">
        <v>186</v>
      </c>
      <c r="N134" s="4" t="s">
        <v>29</v>
      </c>
      <c r="O134" s="16" t="s">
        <v>723</v>
      </c>
      <c r="P134" s="4" t="s">
        <v>724</v>
      </c>
      <c r="Q134" s="4" t="s">
        <v>530</v>
      </c>
    </row>
    <row r="135" ht="44" customHeight="1" spans="1:17">
      <c r="A135" s="4">
        <v>134</v>
      </c>
      <c r="B135" s="4" t="s">
        <v>725</v>
      </c>
      <c r="C135" s="4" t="s">
        <v>475</v>
      </c>
      <c r="D135" s="15" t="s">
        <v>726</v>
      </c>
      <c r="E135" s="4" t="s">
        <v>727</v>
      </c>
      <c r="F135" s="5" t="s">
        <v>478</v>
      </c>
      <c r="G135" s="5" t="s">
        <v>479</v>
      </c>
      <c r="H135" s="4" t="s">
        <v>728</v>
      </c>
      <c r="I135" s="4" t="s">
        <v>481</v>
      </c>
      <c r="J135" s="4" t="s">
        <v>25</v>
      </c>
      <c r="K135" s="4" t="s">
        <v>527</v>
      </c>
      <c r="L135" s="4" t="s">
        <v>27</v>
      </c>
      <c r="M135" s="4" t="s">
        <v>186</v>
      </c>
      <c r="N135" s="4" t="s">
        <v>29</v>
      </c>
      <c r="O135" s="16" t="s">
        <v>729</v>
      </c>
      <c r="P135" s="4" t="s">
        <v>724</v>
      </c>
      <c r="Q135" s="4" t="s">
        <v>530</v>
      </c>
    </row>
    <row r="136" ht="44" customHeight="1" spans="1:17">
      <c r="A136" s="4">
        <v>135</v>
      </c>
      <c r="B136" s="4" t="s">
        <v>730</v>
      </c>
      <c r="C136" s="4" t="s">
        <v>475</v>
      </c>
      <c r="D136" s="15" t="s">
        <v>731</v>
      </c>
      <c r="E136" s="4" t="s">
        <v>547</v>
      </c>
      <c r="F136" s="5" t="s">
        <v>495</v>
      </c>
      <c r="G136" s="5" t="s">
        <v>496</v>
      </c>
      <c r="H136" s="4" t="s">
        <v>732</v>
      </c>
      <c r="I136" s="4" t="s">
        <v>481</v>
      </c>
      <c r="J136" s="4" t="s">
        <v>25</v>
      </c>
      <c r="K136" s="4" t="s">
        <v>527</v>
      </c>
      <c r="L136" s="4" t="s">
        <v>27</v>
      </c>
      <c r="M136" s="4" t="s">
        <v>186</v>
      </c>
      <c r="N136" s="4" t="s">
        <v>29</v>
      </c>
      <c r="O136" s="16" t="s">
        <v>733</v>
      </c>
      <c r="P136" s="4" t="s">
        <v>724</v>
      </c>
      <c r="Q136" s="4" t="s">
        <v>530</v>
      </c>
    </row>
    <row r="137" ht="44" customHeight="1" spans="1:17">
      <c r="A137" s="4">
        <v>136</v>
      </c>
      <c r="B137" s="4" t="s">
        <v>734</v>
      </c>
      <c r="C137" s="4" t="s">
        <v>475</v>
      </c>
      <c r="D137" s="15" t="s">
        <v>735</v>
      </c>
      <c r="E137" s="4" t="s">
        <v>547</v>
      </c>
      <c r="F137" s="5" t="s">
        <v>495</v>
      </c>
      <c r="G137" s="5" t="s">
        <v>496</v>
      </c>
      <c r="H137" s="4" t="s">
        <v>736</v>
      </c>
      <c r="I137" s="4" t="s">
        <v>481</v>
      </c>
      <c r="J137" s="4" t="s">
        <v>25</v>
      </c>
      <c r="K137" s="4" t="s">
        <v>527</v>
      </c>
      <c r="L137" s="4" t="s">
        <v>27</v>
      </c>
      <c r="M137" s="4" t="s">
        <v>186</v>
      </c>
      <c r="N137" s="4" t="s">
        <v>29</v>
      </c>
      <c r="O137" s="16" t="s">
        <v>737</v>
      </c>
      <c r="P137" s="4" t="s">
        <v>724</v>
      </c>
      <c r="Q137" s="4" t="s">
        <v>530</v>
      </c>
    </row>
    <row r="138" ht="44" customHeight="1" spans="1:17">
      <c r="A138" s="4">
        <v>137</v>
      </c>
      <c r="B138" s="4" t="s">
        <v>738</v>
      </c>
      <c r="C138" s="4" t="s">
        <v>475</v>
      </c>
      <c r="D138" s="15" t="s">
        <v>739</v>
      </c>
      <c r="E138" s="4" t="s">
        <v>547</v>
      </c>
      <c r="F138" s="5" t="s">
        <v>495</v>
      </c>
      <c r="G138" s="5" t="s">
        <v>496</v>
      </c>
      <c r="H138" s="4" t="s">
        <v>740</v>
      </c>
      <c r="I138" s="4" t="s">
        <v>481</v>
      </c>
      <c r="J138" s="4" t="s">
        <v>25</v>
      </c>
      <c r="K138" s="4" t="s">
        <v>527</v>
      </c>
      <c r="L138" s="4" t="s">
        <v>27</v>
      </c>
      <c r="M138" s="4" t="s">
        <v>186</v>
      </c>
      <c r="N138" s="4" t="s">
        <v>29</v>
      </c>
      <c r="O138" s="16" t="s">
        <v>741</v>
      </c>
      <c r="P138" s="4" t="s">
        <v>724</v>
      </c>
      <c r="Q138" s="4" t="s">
        <v>530</v>
      </c>
    </row>
    <row r="139" ht="44" customHeight="1" spans="1:17">
      <c r="A139" s="4">
        <v>138</v>
      </c>
      <c r="B139" s="4" t="s">
        <v>742</v>
      </c>
      <c r="C139" s="4" t="s">
        <v>475</v>
      </c>
      <c r="D139" s="15" t="s">
        <v>743</v>
      </c>
      <c r="E139" s="4" t="s">
        <v>589</v>
      </c>
      <c r="F139" s="5" t="s">
        <v>478</v>
      </c>
      <c r="G139" s="5" t="s">
        <v>479</v>
      </c>
      <c r="H139" s="4" t="s">
        <v>744</v>
      </c>
      <c r="I139" s="4" t="s">
        <v>481</v>
      </c>
      <c r="J139" s="4" t="s">
        <v>25</v>
      </c>
      <c r="K139" s="4" t="s">
        <v>527</v>
      </c>
      <c r="L139" s="4" t="s">
        <v>27</v>
      </c>
      <c r="M139" s="4" t="s">
        <v>186</v>
      </c>
      <c r="N139" s="4" t="s">
        <v>29</v>
      </c>
      <c r="O139" s="16" t="s">
        <v>745</v>
      </c>
      <c r="P139" s="4" t="s">
        <v>724</v>
      </c>
      <c r="Q139" s="4" t="s">
        <v>530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workbookViewId="0">
      <pane ySplit="8" topLeftCell="A18" activePane="bottomLeft" state="frozen"/>
      <selection/>
      <selection pane="bottomLeft" activeCell="A1" sqref="A1:L2"/>
    </sheetView>
  </sheetViews>
  <sheetFormatPr defaultColWidth="9" defaultRowHeight="16.8"/>
  <cols>
    <col min="1" max="1" width="14" customWidth="1"/>
    <col min="2" max="2" width="38" customWidth="1"/>
    <col min="3" max="3" width="13" customWidth="1"/>
    <col min="4" max="12" width="14" customWidth="1"/>
  </cols>
  <sheetData>
    <row r="1" ht="27" customHeight="1" spans="1:12">
      <c r="A1" s="6" t="s">
        <v>746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27" customHeight="1" spans="1:1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25" customHeight="1" spans="1:12">
      <c r="A3" s="7" t="s">
        <v>747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22" customHeight="1" spans="1:12">
      <c r="A4" s="8" t="s">
        <v>748</v>
      </c>
      <c r="C4" s="8" t="s">
        <v>749</v>
      </c>
      <c r="E4" s="8" t="s">
        <v>750</v>
      </c>
      <c r="G4" s="8" t="s">
        <v>751</v>
      </c>
      <c r="I4" s="8" t="s">
        <v>752</v>
      </c>
      <c r="K4" s="8" t="s">
        <v>753</v>
      </c>
    </row>
    <row r="5" ht="43" customHeight="1" spans="1:12">
      <c r="A5" s="9">
        <f>COUNTA(原始记录追溯!C2:C207)</f>
        <v>206</v>
      </c>
      <c r="C5" s="9">
        <f>COUNTIF(原始记录追溯!A2:A207,"问题-建议 清单 V2.xlsx")</f>
        <v>93</v>
      </c>
      <c r="E5" s="9">
        <f>COUNTIF(原始记录追溯!A2:A207,"问题-建议 清单V2.xlsx")</f>
        <v>113</v>
      </c>
      <c r="G5" s="9">
        <f>COUNTIF(原始记录追溯!H2:H207,"重复问题合并")</f>
        <v>68</v>
      </c>
      <c r="I5" s="9">
        <f>COUNTIF(原始记录追溯!H2:H207,"缺失问题补充")</f>
        <v>45</v>
      </c>
      <c r="K5" s="9">
        <f>COUNTA(问题建议库!B2:B139)</f>
        <v>138</v>
      </c>
    </row>
    <row r="8" ht="30" customHeight="1" spans="1:12">
      <c r="A8" s="2" t="s">
        <v>754</v>
      </c>
      <c r="B8" s="2" t="s">
        <v>755</v>
      </c>
      <c r="C8" s="2" t="s">
        <v>756</v>
      </c>
    </row>
    <row r="9" ht="25" customHeight="1" spans="1:12">
      <c r="A9" t="s">
        <v>21</v>
      </c>
      <c r="B9" t="s">
        <v>22</v>
      </c>
      <c r="C9" s="10">
        <f>COUNTIF(问题建议库!$F$2:$F$139,A9)</f>
        <v>54</v>
      </c>
    </row>
    <row r="10" ht="25" customHeight="1" spans="1:12">
      <c r="A10" t="s">
        <v>140</v>
      </c>
      <c r="B10" t="s">
        <v>141</v>
      </c>
      <c r="C10" s="10">
        <f>COUNTIF(问题建议库!$F$2:$F$139,A10)</f>
        <v>4</v>
      </c>
    </row>
    <row r="11" ht="25" customHeight="1" spans="1:12">
      <c r="A11" t="s">
        <v>152</v>
      </c>
      <c r="B11" t="s">
        <v>153</v>
      </c>
      <c r="C11" s="10">
        <f>COUNTIF(问题建议库!$F$2:$F$139,A11)</f>
        <v>13</v>
      </c>
    </row>
    <row r="12" ht="25" customHeight="1" spans="1:12">
      <c r="A12" t="s">
        <v>335</v>
      </c>
      <c r="B12" t="s">
        <v>336</v>
      </c>
      <c r="C12" s="10">
        <f>COUNTIF(问题建议库!$F$2:$F$139,A12)</f>
        <v>6</v>
      </c>
    </row>
    <row r="13" ht="25" customHeight="1" spans="1:12">
      <c r="A13" t="s">
        <v>345</v>
      </c>
      <c r="B13" t="s">
        <v>346</v>
      </c>
      <c r="C13" s="10">
        <f>COUNTIF(问题建议库!$F$2:$F$139,A13)</f>
        <v>5</v>
      </c>
    </row>
    <row r="14" ht="25" customHeight="1" spans="1:12">
      <c r="A14" t="s">
        <v>369</v>
      </c>
      <c r="B14" t="s">
        <v>370</v>
      </c>
      <c r="C14" s="10">
        <f>COUNTIF(问题建议库!$F$2:$F$139,A14)</f>
        <v>14</v>
      </c>
    </row>
    <row r="15" ht="25" customHeight="1" spans="1:12">
      <c r="A15" t="s">
        <v>446</v>
      </c>
      <c r="B15" t="s">
        <v>447</v>
      </c>
      <c r="C15" s="10">
        <f>COUNTIF(问题建议库!$F$2:$F$139,A15)</f>
        <v>9</v>
      </c>
    </row>
    <row r="16" ht="25" customHeight="1" spans="1:12">
      <c r="A16" t="s">
        <v>416</v>
      </c>
      <c r="B16" t="s">
        <v>417</v>
      </c>
      <c r="C16" s="10">
        <f>COUNTIF(问题建议库!$F$2:$F$139,A16)</f>
        <v>8</v>
      </c>
    </row>
    <row r="17" ht="25" customHeight="1" spans="1:12">
      <c r="A17" t="s">
        <v>316</v>
      </c>
      <c r="B17" t="s">
        <v>317</v>
      </c>
      <c r="C17" s="10">
        <f>COUNTIF(问题建议库!$F$2:$F$139,A17)</f>
        <v>7</v>
      </c>
    </row>
    <row r="18" ht="25" customHeight="1" spans="1:12">
      <c r="A18" t="s">
        <v>478</v>
      </c>
      <c r="B18" t="s">
        <v>479</v>
      </c>
      <c r="C18" s="10">
        <f>COUNTIF(问题建议库!$F$2:$F$139,A18)</f>
        <v>9</v>
      </c>
    </row>
    <row r="19" ht="25" customHeight="1" spans="1:12">
      <c r="A19" t="s">
        <v>495</v>
      </c>
      <c r="B19" t="s">
        <v>496</v>
      </c>
      <c r="C19" s="10">
        <f>COUNTIF(问题建议库!$F$2:$F$139,A19)</f>
        <v>7</v>
      </c>
    </row>
    <row r="20" ht="25" customHeight="1" spans="1:12">
      <c r="A20" t="s">
        <v>644</v>
      </c>
      <c r="B20" t="s">
        <v>645</v>
      </c>
      <c r="C20" s="10">
        <f>COUNTIF(问题建议库!$F$2:$F$139,A20)</f>
        <v>2</v>
      </c>
    </row>
    <row r="21" ht="25" customHeight="1" spans="1:12">
      <c r="C21" s="10"/>
    </row>
    <row r="22" ht="25" customHeight="1" spans="1:12">
      <c r="A22" s="11" t="s">
        <v>757</v>
      </c>
      <c r="B22" s="11"/>
      <c r="C22" s="12">
        <f>SUM(C9:C20)</f>
        <v>138</v>
      </c>
    </row>
    <row r="25" ht="35" customHeight="1" spans="1:12">
      <c r="A25" s="13" t="s">
        <v>758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7" ht="35" customHeight="1" spans="1:12">
      <c r="A27" s="14" t="s">
        <v>759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</sheetData>
  <mergeCells count="4">
    <mergeCell ref="A3:L3"/>
    <mergeCell ref="A25:L25"/>
    <mergeCell ref="A27:L27"/>
    <mergeCell ref="A1:L2"/>
  </mergeCells>
  <conditionalFormatting sqref="C9:C20">
    <cfRule type="dataBar" priority="1">
      <dataBar>
        <cfvo type="min"/>
        <cfvo type="max"/>
        <color rgb="FF15A4B1"/>
      </dataBar>
      <extLst>
        <ext xmlns:x14="http://schemas.microsoft.com/office/spreadsheetml/2009/9/main" uri="{B025F937-C7B1-47D3-B67F-A62EFF666E3E}">
          <x14:id>{8a70178f-673e-4474-b7d3-7135bcefaba3}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70178f-673e-4474-b7d3-7135bcefaba3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C9:C20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6.8"/>
  <cols>
    <col min="1" max="1" width="31" style="1" customWidth="1"/>
    <col min="2" max="2" width="19" style="1" customWidth="1"/>
    <col min="3" max="3" width="13" style="1" customWidth="1"/>
    <col min="4" max="4" width="43" style="1" customWidth="1"/>
    <col min="5" max="6" width="54" style="1" customWidth="1"/>
    <col min="7" max="7" width="15" style="1" customWidth="1"/>
    <col min="8" max="8" width="20" style="1" customWidth="1"/>
    <col min="9" max="9" width="39" style="1" customWidth="1"/>
    <col min="10" max="16384" width="9" style="1"/>
  </cols>
  <sheetData>
    <row r="1" ht="30" customHeight="1" spans="1:9">
      <c r="A1" s="2" t="s">
        <v>760</v>
      </c>
      <c r="B1" s="2" t="s">
        <v>761</v>
      </c>
      <c r="C1" s="2" t="s">
        <v>762</v>
      </c>
      <c r="D1" s="2" t="s">
        <v>763</v>
      </c>
      <c r="E1" s="2" t="s">
        <v>764</v>
      </c>
      <c r="F1" s="2" t="s">
        <v>765</v>
      </c>
      <c r="G1" s="2" t="s">
        <v>766</v>
      </c>
      <c r="H1" s="2" t="s">
        <v>767</v>
      </c>
      <c r="I1" s="2" t="s">
        <v>768</v>
      </c>
    </row>
    <row r="2" ht="40" customHeight="1" spans="1:9">
      <c r="A2" s="4" t="s">
        <v>769</v>
      </c>
      <c r="B2" s="4" t="s">
        <v>770</v>
      </c>
      <c r="C2" s="4" t="s">
        <v>771</v>
      </c>
      <c r="D2" s="4" t="s">
        <v>772</v>
      </c>
      <c r="E2" s="4" t="s">
        <v>20</v>
      </c>
      <c r="F2" s="4" t="s">
        <v>773</v>
      </c>
      <c r="G2" s="5" t="s">
        <v>17</v>
      </c>
      <c r="H2" s="5" t="s">
        <v>774</v>
      </c>
      <c r="I2" s="4" t="s">
        <v>775</v>
      </c>
    </row>
    <row r="3" ht="40" customHeight="1" spans="1:9">
      <c r="A3" s="4" t="s">
        <v>769</v>
      </c>
      <c r="B3" s="4" t="s">
        <v>770</v>
      </c>
      <c r="C3" s="4" t="s">
        <v>776</v>
      </c>
      <c r="D3" s="4" t="s">
        <v>777</v>
      </c>
      <c r="E3" s="4" t="s">
        <v>20</v>
      </c>
      <c r="F3" s="4" t="s">
        <v>778</v>
      </c>
      <c r="G3" s="5" t="s">
        <v>33</v>
      </c>
      <c r="H3" s="5" t="s">
        <v>774</v>
      </c>
      <c r="I3" s="4" t="s">
        <v>779</v>
      </c>
    </row>
    <row r="4" ht="40" customHeight="1" spans="1:9">
      <c r="A4" s="4" t="s">
        <v>769</v>
      </c>
      <c r="B4" s="4" t="s">
        <v>770</v>
      </c>
      <c r="C4" s="4" t="s">
        <v>780</v>
      </c>
      <c r="D4" s="4" t="s">
        <v>38</v>
      </c>
      <c r="E4" s="4" t="s">
        <v>20</v>
      </c>
      <c r="F4" s="4" t="s">
        <v>39</v>
      </c>
      <c r="G4" s="5" t="s">
        <v>37</v>
      </c>
      <c r="H4" s="5" t="s">
        <v>781</v>
      </c>
      <c r="I4" s="4" t="s">
        <v>782</v>
      </c>
    </row>
    <row r="5" ht="40" customHeight="1" spans="1:9">
      <c r="A5" s="4" t="s">
        <v>769</v>
      </c>
      <c r="B5" s="4" t="s">
        <v>770</v>
      </c>
      <c r="C5" s="4" t="s">
        <v>783</v>
      </c>
      <c r="D5" s="4" t="s">
        <v>48</v>
      </c>
      <c r="E5" s="4" t="s">
        <v>20</v>
      </c>
      <c r="F5" s="4" t="s">
        <v>49</v>
      </c>
      <c r="G5" s="5" t="s">
        <v>47</v>
      </c>
      <c r="H5" s="5" t="s">
        <v>781</v>
      </c>
      <c r="I5" s="4" t="s">
        <v>782</v>
      </c>
    </row>
    <row r="6" ht="40" customHeight="1" spans="1:9">
      <c r="A6" s="4" t="s">
        <v>769</v>
      </c>
      <c r="B6" s="4" t="s">
        <v>770</v>
      </c>
      <c r="C6" s="4" t="s">
        <v>784</v>
      </c>
      <c r="D6" s="4" t="s">
        <v>785</v>
      </c>
      <c r="E6" s="4" t="s">
        <v>20</v>
      </c>
      <c r="F6" s="4" t="s">
        <v>786</v>
      </c>
      <c r="G6" s="5" t="s">
        <v>51</v>
      </c>
      <c r="H6" s="5" t="s">
        <v>774</v>
      </c>
      <c r="I6" s="4" t="s">
        <v>787</v>
      </c>
    </row>
    <row r="7" ht="40" customHeight="1" spans="1:9">
      <c r="A7" s="4" t="s">
        <v>769</v>
      </c>
      <c r="B7" s="4" t="s">
        <v>770</v>
      </c>
      <c r="C7" s="4" t="s">
        <v>788</v>
      </c>
      <c r="D7" s="4" t="s">
        <v>789</v>
      </c>
      <c r="E7" s="4" t="s">
        <v>20</v>
      </c>
      <c r="F7" s="4" t="s">
        <v>790</v>
      </c>
      <c r="G7" s="5" t="s">
        <v>58</v>
      </c>
      <c r="H7" s="5" t="s">
        <v>774</v>
      </c>
      <c r="I7" s="4" t="s">
        <v>791</v>
      </c>
    </row>
    <row r="8" ht="40" customHeight="1" spans="1:9">
      <c r="A8" s="4" t="s">
        <v>769</v>
      </c>
      <c r="B8" s="4" t="s">
        <v>770</v>
      </c>
      <c r="C8" s="4" t="s">
        <v>792</v>
      </c>
      <c r="D8" s="4" t="s">
        <v>63</v>
      </c>
      <c r="E8" s="4" t="s">
        <v>20</v>
      </c>
      <c r="F8" s="4" t="s">
        <v>64</v>
      </c>
      <c r="G8" s="5" t="s">
        <v>62</v>
      </c>
      <c r="H8" s="5" t="s">
        <v>781</v>
      </c>
      <c r="I8" s="4" t="s">
        <v>782</v>
      </c>
    </row>
    <row r="9" ht="40" customHeight="1" spans="1:9">
      <c r="A9" s="4" t="s">
        <v>769</v>
      </c>
      <c r="B9" s="4" t="s">
        <v>770</v>
      </c>
      <c r="C9" s="4" t="s">
        <v>793</v>
      </c>
      <c r="D9" s="4" t="s">
        <v>68</v>
      </c>
      <c r="E9" s="4" t="s">
        <v>20</v>
      </c>
      <c r="F9" s="4" t="s">
        <v>69</v>
      </c>
      <c r="G9" s="5" t="s">
        <v>67</v>
      </c>
      <c r="H9" s="5" t="s">
        <v>774</v>
      </c>
      <c r="I9" s="4" t="s">
        <v>794</v>
      </c>
    </row>
    <row r="10" ht="40" customHeight="1" spans="1:9">
      <c r="A10" s="4" t="s">
        <v>769</v>
      </c>
      <c r="B10" s="4" t="s">
        <v>770</v>
      </c>
      <c r="C10" s="4" t="s">
        <v>795</v>
      </c>
      <c r="D10" s="4" t="s">
        <v>796</v>
      </c>
      <c r="E10" s="4" t="s">
        <v>20</v>
      </c>
      <c r="F10" s="4" t="s">
        <v>797</v>
      </c>
      <c r="G10" s="5" t="s">
        <v>71</v>
      </c>
      <c r="H10" s="5" t="s">
        <v>774</v>
      </c>
      <c r="I10" s="4" t="s">
        <v>798</v>
      </c>
    </row>
    <row r="11" ht="40" customHeight="1" spans="1:9">
      <c r="A11" s="4" t="s">
        <v>769</v>
      </c>
      <c r="B11" s="4" t="s">
        <v>770</v>
      </c>
      <c r="C11" s="4" t="s">
        <v>799</v>
      </c>
      <c r="D11" s="4" t="s">
        <v>76</v>
      </c>
      <c r="E11" s="4" t="s">
        <v>20</v>
      </c>
      <c r="F11" s="4" t="s">
        <v>77</v>
      </c>
      <c r="G11" s="5" t="s">
        <v>75</v>
      </c>
      <c r="H11" s="5" t="s">
        <v>781</v>
      </c>
      <c r="I11" s="4" t="s">
        <v>782</v>
      </c>
    </row>
    <row r="12" ht="40" customHeight="1" spans="1:9">
      <c r="A12" s="4" t="s">
        <v>769</v>
      </c>
      <c r="B12" s="4" t="s">
        <v>770</v>
      </c>
      <c r="C12" s="4" t="s">
        <v>800</v>
      </c>
      <c r="D12" s="4" t="s">
        <v>81</v>
      </c>
      <c r="E12" s="4" t="s">
        <v>82</v>
      </c>
      <c r="F12" s="4" t="s">
        <v>83</v>
      </c>
      <c r="G12" s="5" t="s">
        <v>80</v>
      </c>
      <c r="H12" s="5" t="s">
        <v>781</v>
      </c>
      <c r="I12" s="4" t="s">
        <v>782</v>
      </c>
    </row>
    <row r="13" ht="40" customHeight="1" spans="1:9">
      <c r="A13" s="4" t="s">
        <v>769</v>
      </c>
      <c r="B13" s="4" t="s">
        <v>770</v>
      </c>
      <c r="C13" s="4" t="s">
        <v>801</v>
      </c>
      <c r="D13" s="4" t="s">
        <v>87</v>
      </c>
      <c r="E13" s="4" t="s">
        <v>88</v>
      </c>
      <c r="F13" s="4" t="s">
        <v>89</v>
      </c>
      <c r="G13" s="5" t="s">
        <v>86</v>
      </c>
      <c r="H13" s="5" t="s">
        <v>781</v>
      </c>
      <c r="I13" s="4" t="s">
        <v>782</v>
      </c>
    </row>
    <row r="14" ht="40" customHeight="1" spans="1:9">
      <c r="A14" s="4" t="s">
        <v>769</v>
      </c>
      <c r="B14" s="4" t="s">
        <v>770</v>
      </c>
      <c r="C14" s="4" t="s">
        <v>802</v>
      </c>
      <c r="D14" s="4" t="s">
        <v>92</v>
      </c>
      <c r="E14" s="4" t="s">
        <v>93</v>
      </c>
      <c r="F14" s="4" t="s">
        <v>94</v>
      </c>
      <c r="G14" s="5" t="s">
        <v>91</v>
      </c>
      <c r="H14" s="5" t="s">
        <v>781</v>
      </c>
      <c r="I14" s="4" t="s">
        <v>782</v>
      </c>
    </row>
    <row r="15" ht="40" customHeight="1" spans="1:9">
      <c r="A15" s="4" t="s">
        <v>769</v>
      </c>
      <c r="B15" s="4" t="s">
        <v>770</v>
      </c>
      <c r="C15" s="4" t="s">
        <v>803</v>
      </c>
      <c r="D15" s="4" t="s">
        <v>804</v>
      </c>
      <c r="E15" s="4" t="s">
        <v>20</v>
      </c>
      <c r="F15" s="4" t="s">
        <v>805</v>
      </c>
      <c r="G15" s="5" t="s">
        <v>96</v>
      </c>
      <c r="H15" s="5" t="s">
        <v>774</v>
      </c>
      <c r="I15" s="4" t="s">
        <v>806</v>
      </c>
    </row>
    <row r="16" ht="40" customHeight="1" spans="1:9">
      <c r="A16" s="4" t="s">
        <v>769</v>
      </c>
      <c r="B16" s="4" t="s">
        <v>770</v>
      </c>
      <c r="C16" s="4" t="s">
        <v>807</v>
      </c>
      <c r="D16" s="4" t="s">
        <v>105</v>
      </c>
      <c r="E16" s="4" t="s">
        <v>20</v>
      </c>
      <c r="F16" s="4" t="s">
        <v>106</v>
      </c>
      <c r="G16" s="5" t="s">
        <v>104</v>
      </c>
      <c r="H16" s="5" t="s">
        <v>774</v>
      </c>
      <c r="I16" s="4" t="s">
        <v>808</v>
      </c>
    </row>
    <row r="17" ht="40" customHeight="1" spans="1:9">
      <c r="A17" s="4" t="s">
        <v>769</v>
      </c>
      <c r="B17" s="4" t="s">
        <v>770</v>
      </c>
      <c r="C17" s="4" t="s">
        <v>809</v>
      </c>
      <c r="D17" s="4" t="s">
        <v>810</v>
      </c>
      <c r="E17" s="4" t="s">
        <v>20</v>
      </c>
      <c r="F17" s="4" t="s">
        <v>112</v>
      </c>
      <c r="G17" s="5" t="s">
        <v>109</v>
      </c>
      <c r="H17" s="5" t="s">
        <v>774</v>
      </c>
      <c r="I17" s="4" t="s">
        <v>811</v>
      </c>
    </row>
    <row r="18" ht="40" customHeight="1" spans="1:9">
      <c r="A18" s="4" t="s">
        <v>769</v>
      </c>
      <c r="B18" s="4" t="s">
        <v>770</v>
      </c>
      <c r="C18" s="4" t="s">
        <v>812</v>
      </c>
      <c r="D18" s="4" t="s">
        <v>118</v>
      </c>
      <c r="E18" s="4" t="s">
        <v>20</v>
      </c>
      <c r="F18" s="4" t="s">
        <v>119</v>
      </c>
      <c r="G18" s="5" t="s">
        <v>117</v>
      </c>
      <c r="H18" s="5" t="s">
        <v>774</v>
      </c>
      <c r="I18" s="4" t="s">
        <v>813</v>
      </c>
    </row>
    <row r="19" ht="40" customHeight="1" spans="1:9">
      <c r="A19" s="4" t="s">
        <v>769</v>
      </c>
      <c r="B19" s="4" t="s">
        <v>770</v>
      </c>
      <c r="C19" s="4" t="s">
        <v>814</v>
      </c>
      <c r="D19" s="4" t="s">
        <v>815</v>
      </c>
      <c r="E19" s="4" t="s">
        <v>123</v>
      </c>
      <c r="F19" s="4" t="s">
        <v>816</v>
      </c>
      <c r="G19" s="5" t="s">
        <v>121</v>
      </c>
      <c r="H19" s="5" t="s">
        <v>774</v>
      </c>
      <c r="I19" s="4" t="s">
        <v>817</v>
      </c>
    </row>
    <row r="20" ht="40" customHeight="1" spans="1:9">
      <c r="A20" s="4" t="s">
        <v>769</v>
      </c>
      <c r="B20" s="4" t="s">
        <v>770</v>
      </c>
      <c r="C20" s="4" t="s">
        <v>818</v>
      </c>
      <c r="D20" s="4" t="s">
        <v>819</v>
      </c>
      <c r="E20" s="4" t="s">
        <v>20</v>
      </c>
      <c r="F20" s="4" t="s">
        <v>820</v>
      </c>
      <c r="G20" s="5" t="s">
        <v>127</v>
      </c>
      <c r="H20" s="5" t="s">
        <v>774</v>
      </c>
      <c r="I20" s="4" t="s">
        <v>821</v>
      </c>
    </row>
    <row r="21" ht="40" customHeight="1" spans="1:9">
      <c r="A21" s="4" t="s">
        <v>769</v>
      </c>
      <c r="B21" s="4" t="s">
        <v>770</v>
      </c>
      <c r="C21" s="4" t="s">
        <v>822</v>
      </c>
      <c r="D21" s="4" t="s">
        <v>133</v>
      </c>
      <c r="E21" s="4" t="s">
        <v>20</v>
      </c>
      <c r="F21" s="4" t="s">
        <v>134</v>
      </c>
      <c r="G21" s="5" t="s">
        <v>132</v>
      </c>
      <c r="H21" s="5" t="s">
        <v>781</v>
      </c>
      <c r="I21" s="4" t="s">
        <v>782</v>
      </c>
    </row>
    <row r="22" ht="40" customHeight="1" spans="1:9">
      <c r="A22" s="4" t="s">
        <v>769</v>
      </c>
      <c r="B22" s="4" t="s">
        <v>770</v>
      </c>
      <c r="C22" s="4" t="s">
        <v>823</v>
      </c>
      <c r="D22" s="4" t="s">
        <v>138</v>
      </c>
      <c r="E22" s="4" t="s">
        <v>139</v>
      </c>
      <c r="F22" s="4" t="s">
        <v>142</v>
      </c>
      <c r="G22" s="5" t="s">
        <v>137</v>
      </c>
      <c r="H22" s="5" t="s">
        <v>781</v>
      </c>
      <c r="I22" s="4" t="s">
        <v>782</v>
      </c>
    </row>
    <row r="23" ht="40" customHeight="1" spans="1:9">
      <c r="A23" s="4" t="s">
        <v>769</v>
      </c>
      <c r="B23" s="4" t="s">
        <v>770</v>
      </c>
      <c r="C23" s="4" t="s">
        <v>824</v>
      </c>
      <c r="D23" s="4" t="s">
        <v>146</v>
      </c>
      <c r="E23" s="4" t="s">
        <v>20</v>
      </c>
      <c r="F23" s="4" t="s">
        <v>147</v>
      </c>
      <c r="G23" s="5" t="s">
        <v>145</v>
      </c>
      <c r="H23" s="5" t="s">
        <v>781</v>
      </c>
      <c r="I23" s="4" t="s">
        <v>782</v>
      </c>
    </row>
    <row r="24" ht="40" customHeight="1" spans="1:9">
      <c r="A24" s="4" t="s">
        <v>769</v>
      </c>
      <c r="B24" s="4" t="s">
        <v>770</v>
      </c>
      <c r="C24" s="4" t="s">
        <v>825</v>
      </c>
      <c r="D24" s="4" t="s">
        <v>826</v>
      </c>
      <c r="E24" s="4" t="s">
        <v>151</v>
      </c>
      <c r="F24" s="4" t="s">
        <v>827</v>
      </c>
      <c r="G24" s="5" t="s">
        <v>149</v>
      </c>
      <c r="H24" s="5" t="s">
        <v>774</v>
      </c>
      <c r="I24" s="4" t="s">
        <v>828</v>
      </c>
    </row>
    <row r="25" ht="40" customHeight="1" spans="1:9">
      <c r="A25" s="4" t="s">
        <v>769</v>
      </c>
      <c r="B25" s="4" t="s">
        <v>770</v>
      </c>
      <c r="C25" s="4" t="s">
        <v>829</v>
      </c>
      <c r="D25" s="4" t="s">
        <v>160</v>
      </c>
      <c r="E25" s="4" t="s">
        <v>20</v>
      </c>
      <c r="F25" s="4" t="s">
        <v>161</v>
      </c>
      <c r="G25" s="5" t="s">
        <v>159</v>
      </c>
      <c r="H25" s="5" t="s">
        <v>781</v>
      </c>
      <c r="I25" s="4" t="s">
        <v>782</v>
      </c>
    </row>
    <row r="26" ht="40" customHeight="1" spans="1:9">
      <c r="A26" s="4" t="s">
        <v>769</v>
      </c>
      <c r="B26" s="4" t="s">
        <v>770</v>
      </c>
      <c r="C26" s="4" t="s">
        <v>830</v>
      </c>
      <c r="D26" s="4" t="s">
        <v>164</v>
      </c>
      <c r="E26" s="4" t="s">
        <v>20</v>
      </c>
      <c r="F26" s="4" t="s">
        <v>165</v>
      </c>
      <c r="G26" s="5" t="s">
        <v>163</v>
      </c>
      <c r="H26" s="5" t="s">
        <v>781</v>
      </c>
      <c r="I26" s="4" t="s">
        <v>782</v>
      </c>
    </row>
    <row r="27" ht="40" customHeight="1" spans="1:9">
      <c r="A27" s="4" t="s">
        <v>769</v>
      </c>
      <c r="B27" s="4" t="s">
        <v>770</v>
      </c>
      <c r="C27" s="4" t="s">
        <v>831</v>
      </c>
      <c r="D27" s="4" t="s">
        <v>832</v>
      </c>
      <c r="E27" s="4" t="s">
        <v>20</v>
      </c>
      <c r="F27" s="4" t="s">
        <v>833</v>
      </c>
      <c r="G27" s="5" t="s">
        <v>167</v>
      </c>
      <c r="H27" s="5" t="s">
        <v>774</v>
      </c>
      <c r="I27" s="4" t="s">
        <v>834</v>
      </c>
    </row>
    <row r="28" ht="40" customHeight="1" spans="1:9">
      <c r="A28" s="4" t="s">
        <v>769</v>
      </c>
      <c r="B28" s="4" t="s">
        <v>770</v>
      </c>
      <c r="C28" s="4" t="s">
        <v>835</v>
      </c>
      <c r="D28" s="4" t="s">
        <v>836</v>
      </c>
      <c r="E28" s="4" t="s">
        <v>20</v>
      </c>
      <c r="F28" s="4" t="s">
        <v>837</v>
      </c>
      <c r="G28" s="5" t="s">
        <v>174</v>
      </c>
      <c r="H28" s="5" t="s">
        <v>774</v>
      </c>
      <c r="I28" s="4" t="s">
        <v>838</v>
      </c>
    </row>
    <row r="29" ht="40" customHeight="1" spans="1:9">
      <c r="A29" s="4" t="s">
        <v>769</v>
      </c>
      <c r="B29" s="4" t="s">
        <v>770</v>
      </c>
      <c r="C29" s="4" t="s">
        <v>839</v>
      </c>
      <c r="D29" s="4" t="s">
        <v>180</v>
      </c>
      <c r="E29" s="4" t="s">
        <v>20</v>
      </c>
      <c r="F29" s="4" t="s">
        <v>181</v>
      </c>
      <c r="G29" s="5" t="s">
        <v>179</v>
      </c>
      <c r="H29" s="5" t="s">
        <v>774</v>
      </c>
      <c r="I29" s="4" t="s">
        <v>840</v>
      </c>
    </row>
    <row r="30" ht="40" customHeight="1" spans="1:9">
      <c r="A30" s="4" t="s">
        <v>769</v>
      </c>
      <c r="B30" s="4" t="s">
        <v>770</v>
      </c>
      <c r="C30" s="4" t="s">
        <v>841</v>
      </c>
      <c r="D30" s="4" t="s">
        <v>184</v>
      </c>
      <c r="E30" s="4" t="s">
        <v>20</v>
      </c>
      <c r="F30" s="4" t="s">
        <v>185</v>
      </c>
      <c r="G30" s="5" t="s">
        <v>183</v>
      </c>
      <c r="H30" s="5" t="s">
        <v>774</v>
      </c>
      <c r="I30" s="4" t="s">
        <v>842</v>
      </c>
    </row>
    <row r="31" ht="40" customHeight="1" spans="1:9">
      <c r="A31" s="4" t="s">
        <v>769</v>
      </c>
      <c r="B31" s="4" t="s">
        <v>770</v>
      </c>
      <c r="C31" s="4" t="s">
        <v>843</v>
      </c>
      <c r="D31" s="4" t="s">
        <v>189</v>
      </c>
      <c r="E31" s="4" t="s">
        <v>20</v>
      </c>
      <c r="F31" s="4" t="s">
        <v>190</v>
      </c>
      <c r="G31" s="5" t="s">
        <v>188</v>
      </c>
      <c r="H31" s="5" t="s">
        <v>774</v>
      </c>
      <c r="I31" s="4" t="s">
        <v>844</v>
      </c>
    </row>
    <row r="32" ht="40" customHeight="1" spans="1:9">
      <c r="A32" s="4" t="s">
        <v>769</v>
      </c>
      <c r="B32" s="4" t="s">
        <v>770</v>
      </c>
      <c r="C32" s="4" t="s">
        <v>845</v>
      </c>
      <c r="D32" s="4" t="s">
        <v>193</v>
      </c>
      <c r="E32" s="4" t="s">
        <v>194</v>
      </c>
      <c r="F32" s="4" t="s">
        <v>195</v>
      </c>
      <c r="G32" s="5" t="s">
        <v>192</v>
      </c>
      <c r="H32" s="5" t="s">
        <v>781</v>
      </c>
      <c r="I32" s="4" t="s">
        <v>782</v>
      </c>
    </row>
    <row r="33" ht="40" customHeight="1" spans="1:9">
      <c r="A33" s="4" t="s">
        <v>769</v>
      </c>
      <c r="B33" s="4" t="s">
        <v>770</v>
      </c>
      <c r="C33" s="4" t="s">
        <v>846</v>
      </c>
      <c r="D33" s="4" t="s">
        <v>847</v>
      </c>
      <c r="E33" s="4" t="s">
        <v>20</v>
      </c>
      <c r="F33" s="4" t="s">
        <v>848</v>
      </c>
      <c r="G33" s="5" t="s">
        <v>198</v>
      </c>
      <c r="H33" s="5" t="s">
        <v>774</v>
      </c>
      <c r="I33" s="4" t="s">
        <v>849</v>
      </c>
    </row>
    <row r="34" ht="40" customHeight="1" spans="1:9">
      <c r="A34" s="4" t="s">
        <v>769</v>
      </c>
      <c r="B34" s="4" t="s">
        <v>770</v>
      </c>
      <c r="C34" s="4" t="s">
        <v>850</v>
      </c>
      <c r="D34" s="4" t="s">
        <v>205</v>
      </c>
      <c r="E34" s="4" t="s">
        <v>20</v>
      </c>
      <c r="F34" s="4" t="s">
        <v>206</v>
      </c>
      <c r="G34" s="5" t="s">
        <v>204</v>
      </c>
      <c r="H34" s="5" t="s">
        <v>781</v>
      </c>
      <c r="I34" s="4" t="s">
        <v>782</v>
      </c>
    </row>
    <row r="35" ht="40" customHeight="1" spans="1:9">
      <c r="A35" s="4" t="s">
        <v>769</v>
      </c>
      <c r="B35" s="4" t="s">
        <v>770</v>
      </c>
      <c r="C35" s="4" t="s">
        <v>851</v>
      </c>
      <c r="D35" s="4" t="s">
        <v>209</v>
      </c>
      <c r="E35" s="4" t="s">
        <v>20</v>
      </c>
      <c r="F35" s="4" t="s">
        <v>210</v>
      </c>
      <c r="G35" s="5" t="s">
        <v>208</v>
      </c>
      <c r="H35" s="5" t="s">
        <v>781</v>
      </c>
      <c r="I35" s="4" t="s">
        <v>782</v>
      </c>
    </row>
    <row r="36" ht="40" customHeight="1" spans="1:9">
      <c r="A36" s="4" t="s">
        <v>769</v>
      </c>
      <c r="B36" s="4" t="s">
        <v>770</v>
      </c>
      <c r="C36" s="4" t="s">
        <v>852</v>
      </c>
      <c r="D36" s="4" t="s">
        <v>213</v>
      </c>
      <c r="E36" s="4" t="s">
        <v>214</v>
      </c>
      <c r="F36" s="4" t="s">
        <v>215</v>
      </c>
      <c r="G36" s="5" t="s">
        <v>212</v>
      </c>
      <c r="H36" s="5" t="s">
        <v>781</v>
      </c>
      <c r="I36" s="4" t="s">
        <v>782</v>
      </c>
    </row>
    <row r="37" ht="40" customHeight="1" spans="1:9">
      <c r="A37" s="4" t="s">
        <v>769</v>
      </c>
      <c r="B37" s="4" t="s">
        <v>770</v>
      </c>
      <c r="C37" s="4" t="s">
        <v>853</v>
      </c>
      <c r="D37" s="4" t="s">
        <v>218</v>
      </c>
      <c r="E37" s="4" t="s">
        <v>20</v>
      </c>
      <c r="F37" s="4" t="s">
        <v>219</v>
      </c>
      <c r="G37" s="5" t="s">
        <v>217</v>
      </c>
      <c r="H37" s="5" t="s">
        <v>781</v>
      </c>
      <c r="I37" s="4" t="s">
        <v>782</v>
      </c>
    </row>
    <row r="38" ht="40" customHeight="1" spans="1:9">
      <c r="A38" s="4" t="s">
        <v>769</v>
      </c>
      <c r="B38" s="4" t="s">
        <v>770</v>
      </c>
      <c r="C38" s="4" t="s">
        <v>854</v>
      </c>
      <c r="D38" s="4" t="s">
        <v>222</v>
      </c>
      <c r="E38" s="4" t="s">
        <v>20</v>
      </c>
      <c r="F38" s="4" t="s">
        <v>223</v>
      </c>
      <c r="G38" s="5" t="s">
        <v>221</v>
      </c>
      <c r="H38" s="5" t="s">
        <v>781</v>
      </c>
      <c r="I38" s="4" t="s">
        <v>782</v>
      </c>
    </row>
    <row r="39" ht="40" customHeight="1" spans="1:9">
      <c r="A39" s="4" t="s">
        <v>769</v>
      </c>
      <c r="B39" s="4" t="s">
        <v>770</v>
      </c>
      <c r="C39" s="4" t="s">
        <v>855</v>
      </c>
      <c r="D39" s="4" t="s">
        <v>227</v>
      </c>
      <c r="E39" s="4" t="s">
        <v>228</v>
      </c>
      <c r="F39" s="4" t="s">
        <v>229</v>
      </c>
      <c r="G39" s="5" t="s">
        <v>226</v>
      </c>
      <c r="H39" s="5" t="s">
        <v>781</v>
      </c>
      <c r="I39" s="4" t="s">
        <v>782</v>
      </c>
    </row>
    <row r="40" ht="40" customHeight="1" spans="1:9">
      <c r="A40" s="4" t="s">
        <v>769</v>
      </c>
      <c r="B40" s="4" t="s">
        <v>770</v>
      </c>
      <c r="C40" s="4" t="s">
        <v>856</v>
      </c>
      <c r="D40" s="4" t="s">
        <v>233</v>
      </c>
      <c r="E40" s="4" t="s">
        <v>20</v>
      </c>
      <c r="F40" s="4" t="s">
        <v>234</v>
      </c>
      <c r="G40" s="5" t="s">
        <v>232</v>
      </c>
      <c r="H40" s="5" t="s">
        <v>781</v>
      </c>
      <c r="I40" s="4" t="s">
        <v>782</v>
      </c>
    </row>
    <row r="41" ht="40" customHeight="1" spans="1:9">
      <c r="A41" s="4" t="s">
        <v>769</v>
      </c>
      <c r="B41" s="4" t="s">
        <v>770</v>
      </c>
      <c r="C41" s="4" t="s">
        <v>857</v>
      </c>
      <c r="D41" s="4" t="s">
        <v>858</v>
      </c>
      <c r="E41" s="4" t="s">
        <v>20</v>
      </c>
      <c r="F41" s="4" t="s">
        <v>859</v>
      </c>
      <c r="G41" s="5" t="s">
        <v>236</v>
      </c>
      <c r="H41" s="5" t="s">
        <v>774</v>
      </c>
      <c r="I41" s="4" t="s">
        <v>860</v>
      </c>
    </row>
    <row r="42" ht="40" customHeight="1" spans="1:9">
      <c r="A42" s="4" t="s">
        <v>769</v>
      </c>
      <c r="B42" s="4" t="s">
        <v>770</v>
      </c>
      <c r="C42" s="4" t="s">
        <v>861</v>
      </c>
      <c r="D42" s="4" t="s">
        <v>862</v>
      </c>
      <c r="E42" s="4" t="s">
        <v>139</v>
      </c>
      <c r="F42" s="4" t="s">
        <v>863</v>
      </c>
      <c r="G42" s="5" t="s">
        <v>241</v>
      </c>
      <c r="H42" s="5" t="s">
        <v>774</v>
      </c>
      <c r="I42" s="4" t="s">
        <v>864</v>
      </c>
    </row>
    <row r="43" ht="40" customHeight="1" spans="1:9">
      <c r="A43" s="4" t="s">
        <v>769</v>
      </c>
      <c r="B43" s="4" t="s">
        <v>770</v>
      </c>
      <c r="C43" s="4" t="s">
        <v>865</v>
      </c>
      <c r="D43" s="4" t="s">
        <v>247</v>
      </c>
      <c r="E43" s="4" t="s">
        <v>20</v>
      </c>
      <c r="F43" s="4" t="s">
        <v>248</v>
      </c>
      <c r="G43" s="5" t="s">
        <v>246</v>
      </c>
      <c r="H43" s="5" t="s">
        <v>774</v>
      </c>
      <c r="I43" s="4" t="s">
        <v>866</v>
      </c>
    </row>
    <row r="44" ht="40" customHeight="1" spans="1:9">
      <c r="A44" s="4" t="s">
        <v>769</v>
      </c>
      <c r="B44" s="4" t="s">
        <v>770</v>
      </c>
      <c r="C44" s="4" t="s">
        <v>867</v>
      </c>
      <c r="D44" s="4" t="s">
        <v>868</v>
      </c>
      <c r="E44" s="4" t="s">
        <v>20</v>
      </c>
      <c r="F44" s="4" t="s">
        <v>869</v>
      </c>
      <c r="G44" s="5" t="s">
        <v>251</v>
      </c>
      <c r="H44" s="5" t="s">
        <v>774</v>
      </c>
      <c r="I44" s="4" t="s">
        <v>870</v>
      </c>
    </row>
    <row r="45" ht="40" customHeight="1" spans="1:9">
      <c r="A45" s="4" t="s">
        <v>769</v>
      </c>
      <c r="B45" s="4" t="s">
        <v>770</v>
      </c>
      <c r="C45" s="4" t="s">
        <v>871</v>
      </c>
      <c r="D45" s="4" t="s">
        <v>872</v>
      </c>
      <c r="E45" s="4" t="s">
        <v>20</v>
      </c>
      <c r="F45" s="4" t="s">
        <v>873</v>
      </c>
      <c r="G45" s="5" t="s">
        <v>257</v>
      </c>
      <c r="H45" s="5" t="s">
        <v>774</v>
      </c>
      <c r="I45" s="4" t="s">
        <v>874</v>
      </c>
    </row>
    <row r="46" ht="40" customHeight="1" spans="1:9">
      <c r="A46" s="4" t="s">
        <v>769</v>
      </c>
      <c r="B46" s="4" t="s">
        <v>770</v>
      </c>
      <c r="C46" s="4" t="s">
        <v>875</v>
      </c>
      <c r="D46" s="4" t="s">
        <v>263</v>
      </c>
      <c r="E46" s="4" t="s">
        <v>264</v>
      </c>
      <c r="F46" s="4" t="s">
        <v>265</v>
      </c>
      <c r="G46" s="5" t="s">
        <v>262</v>
      </c>
      <c r="H46" s="5" t="s">
        <v>781</v>
      </c>
      <c r="I46" s="4" t="s">
        <v>782</v>
      </c>
    </row>
    <row r="47" ht="40" customHeight="1" spans="1:9">
      <c r="A47" s="4" t="s">
        <v>769</v>
      </c>
      <c r="B47" s="4" t="s">
        <v>770</v>
      </c>
      <c r="C47" s="4" t="s">
        <v>876</v>
      </c>
      <c r="D47" s="4" t="s">
        <v>877</v>
      </c>
      <c r="E47" s="4" t="s">
        <v>20</v>
      </c>
      <c r="F47" s="4" t="s">
        <v>878</v>
      </c>
      <c r="G47" s="5" t="s">
        <v>268</v>
      </c>
      <c r="H47" s="5" t="s">
        <v>774</v>
      </c>
      <c r="I47" s="4" t="s">
        <v>879</v>
      </c>
    </row>
    <row r="48" ht="40" customHeight="1" spans="1:9">
      <c r="A48" s="4" t="s">
        <v>769</v>
      </c>
      <c r="B48" s="4" t="s">
        <v>770</v>
      </c>
      <c r="C48" s="4" t="s">
        <v>880</v>
      </c>
      <c r="D48" s="4" t="s">
        <v>881</v>
      </c>
      <c r="E48" s="4" t="s">
        <v>139</v>
      </c>
      <c r="F48" s="4" t="s">
        <v>882</v>
      </c>
      <c r="G48" s="5" t="s">
        <v>272</v>
      </c>
      <c r="H48" s="5" t="s">
        <v>774</v>
      </c>
      <c r="I48" s="4" t="s">
        <v>883</v>
      </c>
    </row>
    <row r="49" ht="40" customHeight="1" spans="1:9">
      <c r="A49" s="4" t="s">
        <v>769</v>
      </c>
      <c r="B49" s="4" t="s">
        <v>770</v>
      </c>
      <c r="C49" s="4" t="s">
        <v>884</v>
      </c>
      <c r="D49" s="4" t="s">
        <v>277</v>
      </c>
      <c r="E49" s="4" t="s">
        <v>151</v>
      </c>
      <c r="F49" s="4" t="s">
        <v>278</v>
      </c>
      <c r="G49" s="5" t="s">
        <v>276</v>
      </c>
      <c r="H49" s="5" t="s">
        <v>774</v>
      </c>
      <c r="I49" s="4" t="s">
        <v>885</v>
      </c>
    </row>
    <row r="50" ht="40" customHeight="1" spans="1:9">
      <c r="A50" s="4" t="s">
        <v>769</v>
      </c>
      <c r="B50" s="4" t="s">
        <v>770</v>
      </c>
      <c r="C50" s="4" t="s">
        <v>886</v>
      </c>
      <c r="D50" s="4" t="s">
        <v>281</v>
      </c>
      <c r="E50" s="4" t="s">
        <v>20</v>
      </c>
      <c r="F50" s="4" t="s">
        <v>282</v>
      </c>
      <c r="G50" s="5" t="s">
        <v>280</v>
      </c>
      <c r="H50" s="5" t="s">
        <v>781</v>
      </c>
      <c r="I50" s="4" t="s">
        <v>782</v>
      </c>
    </row>
    <row r="51" ht="40" customHeight="1" spans="1:9">
      <c r="A51" s="4" t="s">
        <v>769</v>
      </c>
      <c r="B51" s="4" t="s">
        <v>770</v>
      </c>
      <c r="C51" s="4" t="s">
        <v>887</v>
      </c>
      <c r="D51" s="4" t="s">
        <v>888</v>
      </c>
      <c r="E51" s="4" t="s">
        <v>20</v>
      </c>
      <c r="F51" s="4" t="s">
        <v>889</v>
      </c>
      <c r="G51" s="5" t="s">
        <v>284</v>
      </c>
      <c r="H51" s="5" t="s">
        <v>774</v>
      </c>
      <c r="I51" s="4" t="s">
        <v>890</v>
      </c>
    </row>
    <row r="52" ht="40" customHeight="1" spans="1:9">
      <c r="A52" s="4" t="s">
        <v>769</v>
      </c>
      <c r="B52" s="4" t="s">
        <v>770</v>
      </c>
      <c r="C52" s="4" t="s">
        <v>891</v>
      </c>
      <c r="D52" s="4" t="s">
        <v>289</v>
      </c>
      <c r="E52" s="4" t="s">
        <v>20</v>
      </c>
      <c r="F52" s="4" t="s">
        <v>290</v>
      </c>
      <c r="G52" s="5" t="s">
        <v>288</v>
      </c>
      <c r="H52" s="5" t="s">
        <v>781</v>
      </c>
      <c r="I52" s="4" t="s">
        <v>782</v>
      </c>
    </row>
    <row r="53" ht="40" customHeight="1" spans="1:9">
      <c r="A53" s="4" t="s">
        <v>769</v>
      </c>
      <c r="B53" s="4" t="s">
        <v>770</v>
      </c>
      <c r="C53" s="4" t="s">
        <v>892</v>
      </c>
      <c r="D53" s="4" t="s">
        <v>293</v>
      </c>
      <c r="E53" s="4" t="s">
        <v>151</v>
      </c>
      <c r="F53" s="4" t="s">
        <v>294</v>
      </c>
      <c r="G53" s="5" t="s">
        <v>292</v>
      </c>
      <c r="H53" s="5" t="s">
        <v>781</v>
      </c>
      <c r="I53" s="4" t="s">
        <v>782</v>
      </c>
    </row>
    <row r="54" ht="40" customHeight="1" spans="1:9">
      <c r="A54" s="4" t="s">
        <v>769</v>
      </c>
      <c r="B54" s="4" t="s">
        <v>770</v>
      </c>
      <c r="C54" s="4" t="s">
        <v>893</v>
      </c>
      <c r="D54" s="4" t="s">
        <v>894</v>
      </c>
      <c r="E54" s="4" t="s">
        <v>20</v>
      </c>
      <c r="F54" s="4" t="s">
        <v>895</v>
      </c>
      <c r="G54" s="5" t="s">
        <v>296</v>
      </c>
      <c r="H54" s="5" t="s">
        <v>774</v>
      </c>
      <c r="I54" s="4" t="s">
        <v>896</v>
      </c>
    </row>
    <row r="55" ht="40" customHeight="1" spans="1:9">
      <c r="A55" s="4" t="s">
        <v>769</v>
      </c>
      <c r="B55" s="4" t="s">
        <v>770</v>
      </c>
      <c r="C55" s="4" t="s">
        <v>897</v>
      </c>
      <c r="D55" s="4" t="s">
        <v>898</v>
      </c>
      <c r="E55" s="4" t="s">
        <v>151</v>
      </c>
      <c r="F55" s="4" t="s">
        <v>899</v>
      </c>
      <c r="G55" s="5" t="s">
        <v>300</v>
      </c>
      <c r="H55" s="5" t="s">
        <v>774</v>
      </c>
      <c r="I55" s="4" t="s">
        <v>900</v>
      </c>
    </row>
    <row r="56" ht="40" customHeight="1" spans="1:9">
      <c r="A56" s="4" t="s">
        <v>769</v>
      </c>
      <c r="B56" s="4" t="s">
        <v>770</v>
      </c>
      <c r="C56" s="4" t="s">
        <v>901</v>
      </c>
      <c r="D56" s="4" t="s">
        <v>902</v>
      </c>
      <c r="E56" s="4" t="s">
        <v>20</v>
      </c>
      <c r="F56" s="4" t="s">
        <v>903</v>
      </c>
      <c r="G56" s="5" t="s">
        <v>304</v>
      </c>
      <c r="H56" s="5" t="s">
        <v>774</v>
      </c>
      <c r="I56" s="4" t="s">
        <v>904</v>
      </c>
    </row>
    <row r="57" ht="40" customHeight="1" spans="1:9">
      <c r="A57" s="4" t="s">
        <v>769</v>
      </c>
      <c r="B57" s="4" t="s">
        <v>770</v>
      </c>
      <c r="C57" s="4" t="s">
        <v>905</v>
      </c>
      <c r="D57" s="4" t="s">
        <v>906</v>
      </c>
      <c r="E57" s="4" t="s">
        <v>151</v>
      </c>
      <c r="F57" s="4" t="s">
        <v>310</v>
      </c>
      <c r="G57" s="5" t="s">
        <v>308</v>
      </c>
      <c r="H57" s="5" t="s">
        <v>774</v>
      </c>
      <c r="I57" s="4" t="s">
        <v>907</v>
      </c>
    </row>
    <row r="58" ht="40" customHeight="1" spans="1:9">
      <c r="A58" s="4" t="s">
        <v>769</v>
      </c>
      <c r="B58" s="4" t="s">
        <v>770</v>
      </c>
      <c r="C58" s="4" t="s">
        <v>908</v>
      </c>
      <c r="D58" s="4" t="s">
        <v>314</v>
      </c>
      <c r="E58" s="4" t="s">
        <v>315</v>
      </c>
      <c r="F58" s="4" t="s">
        <v>318</v>
      </c>
      <c r="G58" s="5" t="s">
        <v>313</v>
      </c>
      <c r="H58" s="5" t="s">
        <v>774</v>
      </c>
      <c r="I58" s="4" t="s">
        <v>909</v>
      </c>
    </row>
    <row r="59" ht="40" customHeight="1" spans="1:9">
      <c r="A59" s="4" t="s">
        <v>769</v>
      </c>
      <c r="B59" s="4" t="s">
        <v>770</v>
      </c>
      <c r="C59" s="4" t="s">
        <v>910</v>
      </c>
      <c r="D59" s="4" t="s">
        <v>324</v>
      </c>
      <c r="E59" s="4" t="s">
        <v>151</v>
      </c>
      <c r="F59" s="4" t="s">
        <v>325</v>
      </c>
      <c r="G59" s="5" t="s">
        <v>322</v>
      </c>
      <c r="H59" s="5" t="s">
        <v>781</v>
      </c>
      <c r="I59" s="4" t="s">
        <v>782</v>
      </c>
    </row>
    <row r="60" ht="40" customHeight="1" spans="1:9">
      <c r="A60" s="4" t="s">
        <v>769</v>
      </c>
      <c r="B60" s="4" t="s">
        <v>770</v>
      </c>
      <c r="C60" s="4" t="s">
        <v>911</v>
      </c>
      <c r="D60" s="4" t="s">
        <v>329</v>
      </c>
      <c r="E60" s="4" t="s">
        <v>151</v>
      </c>
      <c r="F60" s="4" t="s">
        <v>330</v>
      </c>
      <c r="G60" s="5" t="s">
        <v>328</v>
      </c>
      <c r="H60" s="5" t="s">
        <v>781</v>
      </c>
      <c r="I60" s="4" t="s">
        <v>782</v>
      </c>
    </row>
    <row r="61" ht="40" customHeight="1" spans="1:9">
      <c r="A61" s="4" t="s">
        <v>769</v>
      </c>
      <c r="B61" s="4" t="s">
        <v>770</v>
      </c>
      <c r="C61" s="4" t="s">
        <v>912</v>
      </c>
      <c r="D61" s="4" t="s">
        <v>913</v>
      </c>
      <c r="E61" s="4" t="s">
        <v>334</v>
      </c>
      <c r="F61" s="4" t="s">
        <v>914</v>
      </c>
      <c r="G61" s="5" t="s">
        <v>332</v>
      </c>
      <c r="H61" s="5" t="s">
        <v>774</v>
      </c>
      <c r="I61" s="4" t="s">
        <v>915</v>
      </c>
    </row>
    <row r="62" ht="40" customHeight="1" spans="1:9">
      <c r="A62" s="4" t="s">
        <v>769</v>
      </c>
      <c r="B62" s="4" t="s">
        <v>770</v>
      </c>
      <c r="C62" s="4" t="s">
        <v>916</v>
      </c>
      <c r="D62" s="4" t="s">
        <v>343</v>
      </c>
      <c r="E62" s="4" t="s">
        <v>344</v>
      </c>
      <c r="F62" s="4" t="s">
        <v>347</v>
      </c>
      <c r="G62" s="5" t="s">
        <v>342</v>
      </c>
      <c r="H62" s="5" t="s">
        <v>774</v>
      </c>
      <c r="I62" s="4" t="s">
        <v>917</v>
      </c>
    </row>
    <row r="63" ht="40" customHeight="1" spans="1:9">
      <c r="A63" s="4" t="s">
        <v>769</v>
      </c>
      <c r="B63" s="4" t="s">
        <v>770</v>
      </c>
      <c r="C63" s="4" t="s">
        <v>918</v>
      </c>
      <c r="D63" s="4" t="s">
        <v>351</v>
      </c>
      <c r="E63" s="4" t="s">
        <v>334</v>
      </c>
      <c r="F63" s="4" t="s">
        <v>352</v>
      </c>
      <c r="G63" s="5" t="s">
        <v>350</v>
      </c>
      <c r="H63" s="5" t="s">
        <v>774</v>
      </c>
      <c r="I63" s="4" t="s">
        <v>919</v>
      </c>
    </row>
    <row r="64" ht="40" customHeight="1" spans="1:9">
      <c r="A64" s="4" t="s">
        <v>769</v>
      </c>
      <c r="B64" s="4" t="s">
        <v>770</v>
      </c>
      <c r="C64" s="4" t="s">
        <v>920</v>
      </c>
      <c r="D64" s="4" t="s">
        <v>355</v>
      </c>
      <c r="E64" s="4" t="s">
        <v>356</v>
      </c>
      <c r="F64" s="4" t="s">
        <v>357</v>
      </c>
      <c r="G64" s="5" t="s">
        <v>354</v>
      </c>
      <c r="H64" s="5" t="s">
        <v>774</v>
      </c>
      <c r="I64" s="4" t="s">
        <v>921</v>
      </c>
    </row>
    <row r="65" ht="40" customHeight="1" spans="1:9">
      <c r="A65" s="4" t="s">
        <v>769</v>
      </c>
      <c r="B65" s="4" t="s">
        <v>770</v>
      </c>
      <c r="C65" s="4" t="s">
        <v>922</v>
      </c>
      <c r="D65" s="4" t="s">
        <v>360</v>
      </c>
      <c r="E65" s="4" t="s">
        <v>361</v>
      </c>
      <c r="F65" s="4" t="s">
        <v>362</v>
      </c>
      <c r="G65" s="5" t="s">
        <v>359</v>
      </c>
      <c r="H65" s="5" t="s">
        <v>774</v>
      </c>
      <c r="I65" s="4" t="s">
        <v>923</v>
      </c>
    </row>
    <row r="66" ht="40" customHeight="1" spans="1:9">
      <c r="A66" s="4" t="s">
        <v>769</v>
      </c>
      <c r="B66" s="4" t="s">
        <v>770</v>
      </c>
      <c r="C66" s="4" t="s">
        <v>924</v>
      </c>
      <c r="D66" s="4" t="s">
        <v>367</v>
      </c>
      <c r="E66" s="4" t="s">
        <v>368</v>
      </c>
      <c r="F66" s="4" t="s">
        <v>371</v>
      </c>
      <c r="G66" s="5" t="s">
        <v>365</v>
      </c>
      <c r="H66" s="5" t="s">
        <v>774</v>
      </c>
      <c r="I66" s="4" t="s">
        <v>925</v>
      </c>
    </row>
    <row r="67" ht="40" customHeight="1" spans="1:9">
      <c r="A67" s="4" t="s">
        <v>769</v>
      </c>
      <c r="B67" s="4" t="s">
        <v>770</v>
      </c>
      <c r="C67" s="4" t="s">
        <v>926</v>
      </c>
      <c r="D67" s="4" t="s">
        <v>376</v>
      </c>
      <c r="E67" s="4" t="s">
        <v>368</v>
      </c>
      <c r="F67" s="4" t="s">
        <v>377</v>
      </c>
      <c r="G67" s="5" t="s">
        <v>375</v>
      </c>
      <c r="H67" s="5" t="s">
        <v>774</v>
      </c>
      <c r="I67" s="4" t="s">
        <v>927</v>
      </c>
    </row>
    <row r="68" ht="40" customHeight="1" spans="1:9">
      <c r="A68" s="4" t="s">
        <v>769</v>
      </c>
      <c r="B68" s="4" t="s">
        <v>770</v>
      </c>
      <c r="C68" s="4" t="s">
        <v>928</v>
      </c>
      <c r="D68" s="4" t="s">
        <v>380</v>
      </c>
      <c r="E68" s="4" t="s">
        <v>368</v>
      </c>
      <c r="F68" s="4" t="s">
        <v>381</v>
      </c>
      <c r="G68" s="5" t="s">
        <v>379</v>
      </c>
      <c r="H68" s="5" t="s">
        <v>774</v>
      </c>
      <c r="I68" s="4" t="s">
        <v>929</v>
      </c>
    </row>
    <row r="69" ht="40" customHeight="1" spans="1:9">
      <c r="A69" s="4" t="s">
        <v>769</v>
      </c>
      <c r="B69" s="4" t="s">
        <v>770</v>
      </c>
      <c r="C69" s="4" t="s">
        <v>930</v>
      </c>
      <c r="D69" s="4" t="s">
        <v>384</v>
      </c>
      <c r="E69" s="4" t="s">
        <v>368</v>
      </c>
      <c r="F69" s="4" t="s">
        <v>385</v>
      </c>
      <c r="G69" s="5" t="s">
        <v>383</v>
      </c>
      <c r="H69" s="5" t="s">
        <v>774</v>
      </c>
      <c r="I69" s="4" t="s">
        <v>931</v>
      </c>
    </row>
    <row r="70" ht="40" customHeight="1" spans="1:9">
      <c r="A70" s="4" t="s">
        <v>769</v>
      </c>
      <c r="B70" s="4" t="s">
        <v>770</v>
      </c>
      <c r="C70" s="4" t="s">
        <v>932</v>
      </c>
      <c r="D70" s="4" t="s">
        <v>388</v>
      </c>
      <c r="E70" s="4" t="s">
        <v>334</v>
      </c>
      <c r="F70" s="4" t="s">
        <v>389</v>
      </c>
      <c r="G70" s="5" t="s">
        <v>387</v>
      </c>
      <c r="H70" s="5" t="s">
        <v>774</v>
      </c>
      <c r="I70" s="4" t="s">
        <v>933</v>
      </c>
    </row>
    <row r="71" ht="40" customHeight="1" spans="1:9">
      <c r="A71" s="4" t="s">
        <v>769</v>
      </c>
      <c r="B71" s="4" t="s">
        <v>770</v>
      </c>
      <c r="C71" s="4" t="s">
        <v>934</v>
      </c>
      <c r="D71" s="4" t="s">
        <v>392</v>
      </c>
      <c r="E71" s="4" t="s">
        <v>368</v>
      </c>
      <c r="F71" s="4" t="s">
        <v>393</v>
      </c>
      <c r="G71" s="5" t="s">
        <v>391</v>
      </c>
      <c r="H71" s="5" t="s">
        <v>774</v>
      </c>
      <c r="I71" s="4" t="s">
        <v>935</v>
      </c>
    </row>
    <row r="72" ht="40" customHeight="1" spans="1:9">
      <c r="A72" s="4" t="s">
        <v>769</v>
      </c>
      <c r="B72" s="4" t="s">
        <v>770</v>
      </c>
      <c r="C72" s="4" t="s">
        <v>936</v>
      </c>
      <c r="D72" s="4" t="s">
        <v>396</v>
      </c>
      <c r="E72" s="4" t="s">
        <v>368</v>
      </c>
      <c r="F72" s="4" t="s">
        <v>397</v>
      </c>
      <c r="G72" s="5" t="s">
        <v>395</v>
      </c>
      <c r="H72" s="5" t="s">
        <v>774</v>
      </c>
      <c r="I72" s="4" t="s">
        <v>937</v>
      </c>
    </row>
    <row r="73" ht="40" customHeight="1" spans="1:9">
      <c r="A73" s="4" t="s">
        <v>769</v>
      </c>
      <c r="B73" s="4" t="s">
        <v>770</v>
      </c>
      <c r="C73" s="4" t="s">
        <v>938</v>
      </c>
      <c r="D73" s="4" t="s">
        <v>401</v>
      </c>
      <c r="E73" s="4" t="s">
        <v>334</v>
      </c>
      <c r="F73" s="4" t="s">
        <v>402</v>
      </c>
      <c r="G73" s="5" t="s">
        <v>400</v>
      </c>
      <c r="H73" s="5" t="s">
        <v>774</v>
      </c>
      <c r="I73" s="4" t="s">
        <v>939</v>
      </c>
    </row>
    <row r="74" ht="40" customHeight="1" spans="1:9">
      <c r="A74" s="4" t="s">
        <v>769</v>
      </c>
      <c r="B74" s="4" t="s">
        <v>770</v>
      </c>
      <c r="C74" s="4" t="s">
        <v>940</v>
      </c>
      <c r="D74" s="4" t="s">
        <v>406</v>
      </c>
      <c r="E74" s="4" t="s">
        <v>368</v>
      </c>
      <c r="F74" s="4" t="s">
        <v>407</v>
      </c>
      <c r="G74" s="5" t="s">
        <v>405</v>
      </c>
      <c r="H74" s="5" t="s">
        <v>781</v>
      </c>
      <c r="I74" s="4" t="s">
        <v>782</v>
      </c>
    </row>
    <row r="75" ht="40" customHeight="1" spans="1:9">
      <c r="A75" s="4" t="s">
        <v>769</v>
      </c>
      <c r="B75" s="4" t="s">
        <v>770</v>
      </c>
      <c r="C75" s="4" t="s">
        <v>941</v>
      </c>
      <c r="D75" s="4" t="s">
        <v>942</v>
      </c>
      <c r="E75" s="4" t="s">
        <v>415</v>
      </c>
      <c r="F75" s="4" t="s">
        <v>943</v>
      </c>
      <c r="G75" s="5" t="s">
        <v>412</v>
      </c>
      <c r="H75" s="5" t="s">
        <v>774</v>
      </c>
      <c r="I75" s="4" t="s">
        <v>944</v>
      </c>
    </row>
    <row r="76" ht="40" customHeight="1" spans="1:9">
      <c r="A76" s="4" t="s">
        <v>769</v>
      </c>
      <c r="B76" s="4" t="s">
        <v>770</v>
      </c>
      <c r="C76" s="4" t="s">
        <v>945</v>
      </c>
      <c r="D76" s="4" t="s">
        <v>423</v>
      </c>
      <c r="E76" s="4" t="s">
        <v>415</v>
      </c>
      <c r="F76" s="4" t="s">
        <v>424</v>
      </c>
      <c r="G76" s="5" t="s">
        <v>422</v>
      </c>
      <c r="H76" s="5" t="s">
        <v>781</v>
      </c>
      <c r="I76" s="4" t="s">
        <v>782</v>
      </c>
    </row>
    <row r="77" ht="40" customHeight="1" spans="1:9">
      <c r="A77" s="4" t="s">
        <v>769</v>
      </c>
      <c r="B77" s="4" t="s">
        <v>770</v>
      </c>
      <c r="C77" s="4" t="s">
        <v>946</v>
      </c>
      <c r="D77" s="4" t="s">
        <v>947</v>
      </c>
      <c r="E77" s="4" t="s">
        <v>415</v>
      </c>
      <c r="F77" s="4" t="s">
        <v>948</v>
      </c>
      <c r="G77" s="5" t="s">
        <v>429</v>
      </c>
      <c r="H77" s="5" t="s">
        <v>774</v>
      </c>
      <c r="I77" s="4" t="s">
        <v>949</v>
      </c>
    </row>
    <row r="78" ht="40" customHeight="1" spans="1:9">
      <c r="A78" s="4" t="s">
        <v>769</v>
      </c>
      <c r="B78" s="4" t="s">
        <v>770</v>
      </c>
      <c r="C78" s="4" t="s">
        <v>950</v>
      </c>
      <c r="D78" s="4" t="s">
        <v>434</v>
      </c>
      <c r="E78" s="4" t="s">
        <v>315</v>
      </c>
      <c r="F78" s="4" t="s">
        <v>435</v>
      </c>
      <c r="G78" s="5" t="s">
        <v>433</v>
      </c>
      <c r="H78" s="5" t="s">
        <v>774</v>
      </c>
      <c r="I78" s="4" t="s">
        <v>951</v>
      </c>
    </row>
    <row r="79" ht="40" customHeight="1" spans="1:9">
      <c r="A79" s="4" t="s">
        <v>769</v>
      </c>
      <c r="B79" s="4" t="s">
        <v>770</v>
      </c>
      <c r="C79" s="4" t="s">
        <v>952</v>
      </c>
      <c r="D79" s="4" t="s">
        <v>953</v>
      </c>
      <c r="E79" s="4" t="s">
        <v>415</v>
      </c>
      <c r="F79" s="4" t="s">
        <v>954</v>
      </c>
      <c r="G79" s="5" t="s">
        <v>438</v>
      </c>
      <c r="H79" s="5" t="s">
        <v>774</v>
      </c>
      <c r="I79" s="4" t="s">
        <v>955</v>
      </c>
    </row>
    <row r="80" ht="40" customHeight="1" spans="1:9">
      <c r="A80" s="4" t="s">
        <v>769</v>
      </c>
      <c r="B80" s="4" t="s">
        <v>770</v>
      </c>
      <c r="C80" s="4" t="s">
        <v>956</v>
      </c>
      <c r="D80" s="4" t="s">
        <v>444</v>
      </c>
      <c r="E80" s="4" t="s">
        <v>445</v>
      </c>
      <c r="F80" s="4" t="s">
        <v>448</v>
      </c>
      <c r="G80" s="5" t="s">
        <v>442</v>
      </c>
      <c r="H80" s="5" t="s">
        <v>774</v>
      </c>
      <c r="I80" s="4" t="s">
        <v>957</v>
      </c>
    </row>
    <row r="81" ht="40" customHeight="1" spans="1:9">
      <c r="A81" s="4" t="s">
        <v>769</v>
      </c>
      <c r="B81" s="4" t="s">
        <v>770</v>
      </c>
      <c r="C81" s="4" t="s">
        <v>958</v>
      </c>
      <c r="D81" s="4" t="s">
        <v>452</v>
      </c>
      <c r="E81" s="4" t="s">
        <v>445</v>
      </c>
      <c r="F81" s="4" t="s">
        <v>453</v>
      </c>
      <c r="G81" s="5" t="s">
        <v>451</v>
      </c>
      <c r="H81" s="5" t="s">
        <v>774</v>
      </c>
      <c r="I81" s="4" t="s">
        <v>959</v>
      </c>
    </row>
    <row r="82" ht="40" customHeight="1" spans="1:9">
      <c r="A82" s="4" t="s">
        <v>769</v>
      </c>
      <c r="B82" s="4" t="s">
        <v>770</v>
      </c>
      <c r="C82" s="4" t="s">
        <v>960</v>
      </c>
      <c r="D82" s="4" t="s">
        <v>961</v>
      </c>
      <c r="E82" s="4" t="s">
        <v>315</v>
      </c>
      <c r="F82" s="4" t="s">
        <v>962</v>
      </c>
      <c r="G82" s="5" t="s">
        <v>455</v>
      </c>
      <c r="H82" s="5" t="s">
        <v>774</v>
      </c>
      <c r="I82" s="4" t="s">
        <v>963</v>
      </c>
    </row>
    <row r="83" ht="40" customHeight="1" spans="1:9">
      <c r="A83" s="4" t="s">
        <v>769</v>
      </c>
      <c r="B83" s="4" t="s">
        <v>770</v>
      </c>
      <c r="C83" s="4" t="s">
        <v>964</v>
      </c>
      <c r="D83" s="4" t="s">
        <v>462</v>
      </c>
      <c r="E83" s="4" t="s">
        <v>315</v>
      </c>
      <c r="F83" s="4" t="s">
        <v>463</v>
      </c>
      <c r="G83" s="5" t="s">
        <v>461</v>
      </c>
      <c r="H83" s="5" t="s">
        <v>781</v>
      </c>
      <c r="I83" s="4" t="s">
        <v>782</v>
      </c>
    </row>
    <row r="84" ht="40" customHeight="1" spans="1:9">
      <c r="A84" s="4" t="s">
        <v>769</v>
      </c>
      <c r="B84" s="4" t="s">
        <v>770</v>
      </c>
      <c r="C84" s="4" t="s">
        <v>965</v>
      </c>
      <c r="D84" s="4" t="s">
        <v>467</v>
      </c>
      <c r="E84" s="4" t="s">
        <v>315</v>
      </c>
      <c r="F84" s="4" t="s">
        <v>468</v>
      </c>
      <c r="G84" s="5" t="s">
        <v>466</v>
      </c>
      <c r="H84" s="5" t="s">
        <v>774</v>
      </c>
      <c r="I84" s="4" t="s">
        <v>966</v>
      </c>
    </row>
    <row r="85" ht="40" customHeight="1" spans="1:9">
      <c r="A85" s="4" t="s">
        <v>769</v>
      </c>
      <c r="B85" s="4" t="s">
        <v>770</v>
      </c>
      <c r="C85" s="4" t="s">
        <v>967</v>
      </c>
      <c r="D85" s="4" t="s">
        <v>471</v>
      </c>
      <c r="E85" s="4" t="s">
        <v>315</v>
      </c>
      <c r="F85" s="4" t="s">
        <v>472</v>
      </c>
      <c r="G85" s="5" t="s">
        <v>470</v>
      </c>
      <c r="H85" s="5" t="s">
        <v>774</v>
      </c>
      <c r="I85" s="4" t="s">
        <v>968</v>
      </c>
    </row>
    <row r="86" ht="40" customHeight="1" spans="1:9">
      <c r="A86" s="4" t="s">
        <v>769</v>
      </c>
      <c r="B86" s="4" t="s">
        <v>770</v>
      </c>
      <c r="C86" s="4" t="s">
        <v>969</v>
      </c>
      <c r="D86" s="4" t="s">
        <v>970</v>
      </c>
      <c r="E86" s="4" t="s">
        <v>477</v>
      </c>
      <c r="F86" s="4" t="s">
        <v>971</v>
      </c>
      <c r="G86" s="5" t="s">
        <v>474</v>
      </c>
      <c r="H86" s="5" t="s">
        <v>774</v>
      </c>
      <c r="I86" s="4" t="s">
        <v>972</v>
      </c>
    </row>
    <row r="87" ht="40" customHeight="1" spans="1:9">
      <c r="A87" s="4" t="s">
        <v>769</v>
      </c>
      <c r="B87" s="4" t="s">
        <v>770</v>
      </c>
      <c r="C87" s="4" t="s">
        <v>973</v>
      </c>
      <c r="D87" s="4" t="s">
        <v>974</v>
      </c>
      <c r="E87" s="4" t="s">
        <v>477</v>
      </c>
      <c r="F87" s="4" t="s">
        <v>975</v>
      </c>
      <c r="G87" s="5" t="s">
        <v>484</v>
      </c>
      <c r="H87" s="5" t="s">
        <v>774</v>
      </c>
      <c r="I87" s="4" t="s">
        <v>976</v>
      </c>
    </row>
    <row r="88" ht="40" customHeight="1" spans="1:9">
      <c r="A88" s="4" t="s">
        <v>769</v>
      </c>
      <c r="B88" s="4" t="s">
        <v>770</v>
      </c>
      <c r="C88" s="4" t="s">
        <v>977</v>
      </c>
      <c r="D88" s="4" t="s">
        <v>978</v>
      </c>
      <c r="E88" s="4" t="s">
        <v>139</v>
      </c>
      <c r="F88" s="4" t="s">
        <v>979</v>
      </c>
      <c r="G88" s="5" t="s">
        <v>488</v>
      </c>
      <c r="H88" s="5" t="s">
        <v>774</v>
      </c>
      <c r="I88" s="4" t="s">
        <v>980</v>
      </c>
    </row>
    <row r="89" ht="40" customHeight="1" spans="1:9">
      <c r="A89" s="4" t="s">
        <v>769</v>
      </c>
      <c r="B89" s="4" t="s">
        <v>770</v>
      </c>
      <c r="C89" s="4" t="s">
        <v>981</v>
      </c>
      <c r="D89" s="4" t="s">
        <v>982</v>
      </c>
      <c r="E89" s="4" t="s">
        <v>494</v>
      </c>
      <c r="F89" s="4" t="s">
        <v>983</v>
      </c>
      <c r="G89" s="5" t="s">
        <v>492</v>
      </c>
      <c r="H89" s="5" t="s">
        <v>774</v>
      </c>
      <c r="I89" s="4" t="s">
        <v>984</v>
      </c>
    </row>
    <row r="90" ht="40" customHeight="1" spans="1:9">
      <c r="A90" s="4" t="s">
        <v>769</v>
      </c>
      <c r="B90" s="4" t="s">
        <v>770</v>
      </c>
      <c r="C90" s="4" t="s">
        <v>985</v>
      </c>
      <c r="D90" s="4" t="s">
        <v>500</v>
      </c>
      <c r="E90" s="4" t="s">
        <v>501</v>
      </c>
      <c r="F90" s="4" t="s">
        <v>502</v>
      </c>
      <c r="G90" s="5" t="s">
        <v>499</v>
      </c>
      <c r="H90" s="5" t="s">
        <v>781</v>
      </c>
      <c r="I90" s="4" t="s">
        <v>782</v>
      </c>
    </row>
    <row r="91" ht="40" customHeight="1" spans="1:9">
      <c r="A91" s="4" t="s">
        <v>769</v>
      </c>
      <c r="B91" s="4" t="s">
        <v>770</v>
      </c>
      <c r="C91" s="4" t="s">
        <v>986</v>
      </c>
      <c r="D91" s="4" t="s">
        <v>987</v>
      </c>
      <c r="E91" s="4" t="s">
        <v>477</v>
      </c>
      <c r="F91" s="4" t="s">
        <v>988</v>
      </c>
      <c r="G91" s="5" t="s">
        <v>506</v>
      </c>
      <c r="H91" s="5" t="s">
        <v>774</v>
      </c>
      <c r="I91" s="4" t="s">
        <v>989</v>
      </c>
    </row>
    <row r="92" ht="40" customHeight="1" spans="1:9">
      <c r="A92" s="4" t="s">
        <v>769</v>
      </c>
      <c r="B92" s="4" t="s">
        <v>770</v>
      </c>
      <c r="C92" s="4" t="s">
        <v>990</v>
      </c>
      <c r="D92" s="4" t="s">
        <v>991</v>
      </c>
      <c r="E92" s="4" t="s">
        <v>477</v>
      </c>
      <c r="F92" s="4" t="s">
        <v>992</v>
      </c>
      <c r="G92" s="5" t="s">
        <v>510</v>
      </c>
      <c r="H92" s="5" t="s">
        <v>774</v>
      </c>
      <c r="I92" s="4" t="s">
        <v>993</v>
      </c>
    </row>
    <row r="93" ht="40" customHeight="1" spans="1:9">
      <c r="A93" s="4" t="s">
        <v>769</v>
      </c>
      <c r="B93" s="4" t="s">
        <v>770</v>
      </c>
      <c r="C93" s="4" t="s">
        <v>994</v>
      </c>
      <c r="D93" s="4" t="s">
        <v>995</v>
      </c>
      <c r="E93" s="4" t="s">
        <v>368</v>
      </c>
      <c r="F93" s="4" t="s">
        <v>996</v>
      </c>
      <c r="G93" s="5" t="s">
        <v>514</v>
      </c>
      <c r="H93" s="5" t="s">
        <v>774</v>
      </c>
      <c r="I93" s="4" t="s">
        <v>997</v>
      </c>
    </row>
    <row r="94" ht="40" customHeight="1" spans="1:9">
      <c r="A94" s="4" t="s">
        <v>769</v>
      </c>
      <c r="B94" s="4" t="s">
        <v>770</v>
      </c>
      <c r="C94" s="4" t="s">
        <v>998</v>
      </c>
      <c r="D94" s="4" t="s">
        <v>520</v>
      </c>
      <c r="E94" s="4" t="s">
        <v>415</v>
      </c>
      <c r="F94" s="4" t="s">
        <v>521</v>
      </c>
      <c r="G94" s="5" t="s">
        <v>519</v>
      </c>
      <c r="H94" s="5" t="s">
        <v>781</v>
      </c>
      <c r="I94" s="4" t="s">
        <v>782</v>
      </c>
    </row>
    <row r="95" ht="40" customHeight="1" spans="1:9">
      <c r="A95" s="4" t="s">
        <v>999</v>
      </c>
      <c r="B95" s="4" t="s">
        <v>1000</v>
      </c>
      <c r="C95" s="4" t="s">
        <v>1001</v>
      </c>
      <c r="D95" s="4" t="s">
        <v>1002</v>
      </c>
      <c r="E95" s="4" t="s">
        <v>533</v>
      </c>
      <c r="F95" s="4" t="s">
        <v>1003</v>
      </c>
      <c r="G95" s="5" t="s">
        <v>17</v>
      </c>
      <c r="H95" s="5" t="s">
        <v>1004</v>
      </c>
      <c r="I95" s="4" t="s">
        <v>1005</v>
      </c>
    </row>
    <row r="96" ht="40" customHeight="1" spans="1:9">
      <c r="A96" s="4" t="s">
        <v>999</v>
      </c>
      <c r="B96" s="4" t="s">
        <v>1000</v>
      </c>
      <c r="C96" s="4" t="s">
        <v>1006</v>
      </c>
      <c r="D96" s="4" t="s">
        <v>1007</v>
      </c>
      <c r="E96" s="4" t="s">
        <v>533</v>
      </c>
      <c r="F96" s="4" t="s">
        <v>1008</v>
      </c>
      <c r="G96" s="5" t="s">
        <v>121</v>
      </c>
      <c r="H96" s="5" t="s">
        <v>1004</v>
      </c>
      <c r="I96" s="4" t="s">
        <v>1009</v>
      </c>
    </row>
    <row r="97" ht="40" customHeight="1" spans="1:9">
      <c r="A97" s="4" t="s">
        <v>999</v>
      </c>
      <c r="B97" s="4" t="s">
        <v>1000</v>
      </c>
      <c r="C97" s="4" t="s">
        <v>1010</v>
      </c>
      <c r="D97" s="4" t="s">
        <v>1011</v>
      </c>
      <c r="E97" s="4" t="s">
        <v>533</v>
      </c>
      <c r="F97" s="4" t="s">
        <v>1012</v>
      </c>
      <c r="G97" s="5" t="s">
        <v>236</v>
      </c>
      <c r="H97" s="5" t="s">
        <v>1004</v>
      </c>
      <c r="I97" s="4" t="s">
        <v>1013</v>
      </c>
    </row>
    <row r="98" ht="40" customHeight="1" spans="1:9">
      <c r="A98" s="4" t="s">
        <v>999</v>
      </c>
      <c r="B98" s="4" t="s">
        <v>1000</v>
      </c>
      <c r="C98" s="4" t="s">
        <v>1014</v>
      </c>
      <c r="D98" s="4" t="s">
        <v>1015</v>
      </c>
      <c r="E98" s="4" t="s">
        <v>533</v>
      </c>
      <c r="F98" s="4" t="s">
        <v>1016</v>
      </c>
      <c r="G98" s="5" t="s">
        <v>51</v>
      </c>
      <c r="H98" s="5" t="s">
        <v>1004</v>
      </c>
      <c r="I98" s="4" t="s">
        <v>1017</v>
      </c>
    </row>
    <row r="99" ht="40" customHeight="1" spans="1:9">
      <c r="A99" s="4" t="s">
        <v>999</v>
      </c>
      <c r="B99" s="4" t="s">
        <v>1000</v>
      </c>
      <c r="C99" s="4" t="s">
        <v>1018</v>
      </c>
      <c r="D99" s="4" t="s">
        <v>1019</v>
      </c>
      <c r="E99" s="4" t="s">
        <v>533</v>
      </c>
      <c r="F99" s="4" t="s">
        <v>1020</v>
      </c>
      <c r="G99" s="5" t="s">
        <v>33</v>
      </c>
      <c r="H99" s="5" t="s">
        <v>1004</v>
      </c>
      <c r="I99" s="4" t="s">
        <v>1021</v>
      </c>
    </row>
    <row r="100" ht="40" customHeight="1" spans="1:9">
      <c r="A100" s="4" t="s">
        <v>999</v>
      </c>
      <c r="B100" s="4" t="s">
        <v>1000</v>
      </c>
      <c r="C100" s="4" t="s">
        <v>1022</v>
      </c>
      <c r="D100" s="4" t="s">
        <v>1023</v>
      </c>
      <c r="E100" s="4" t="s">
        <v>533</v>
      </c>
      <c r="F100" s="4" t="s">
        <v>1024</v>
      </c>
      <c r="G100" s="5" t="s">
        <v>67</v>
      </c>
      <c r="H100" s="5" t="s">
        <v>1004</v>
      </c>
      <c r="I100" s="4" t="s">
        <v>1025</v>
      </c>
    </row>
    <row r="101" ht="40" customHeight="1" spans="1:9">
      <c r="A101" s="4" t="s">
        <v>999</v>
      </c>
      <c r="B101" s="4" t="s">
        <v>1000</v>
      </c>
      <c r="C101" s="4" t="s">
        <v>1026</v>
      </c>
      <c r="D101" s="4" t="s">
        <v>1027</v>
      </c>
      <c r="E101" s="4" t="s">
        <v>533</v>
      </c>
      <c r="F101" s="4" t="s">
        <v>1028</v>
      </c>
      <c r="G101" s="5" t="s">
        <v>58</v>
      </c>
      <c r="H101" s="5" t="s">
        <v>1004</v>
      </c>
      <c r="I101" s="4" t="s">
        <v>1029</v>
      </c>
    </row>
    <row r="102" ht="40" customHeight="1" spans="1:9">
      <c r="A102" s="4" t="s">
        <v>999</v>
      </c>
      <c r="B102" s="4" t="s">
        <v>1000</v>
      </c>
      <c r="C102" s="4" t="s">
        <v>1030</v>
      </c>
      <c r="D102" s="4" t="s">
        <v>524</v>
      </c>
      <c r="E102" s="4" t="s">
        <v>525</v>
      </c>
      <c r="F102" s="4" t="s">
        <v>526</v>
      </c>
      <c r="G102" s="5" t="s">
        <v>523</v>
      </c>
      <c r="H102" s="5" t="s">
        <v>1031</v>
      </c>
      <c r="I102" s="4" t="s">
        <v>1032</v>
      </c>
    </row>
    <row r="103" ht="40" customHeight="1" spans="1:9">
      <c r="A103" s="4" t="s">
        <v>999</v>
      </c>
      <c r="B103" s="4" t="s">
        <v>1000</v>
      </c>
      <c r="C103" s="4" t="s">
        <v>1033</v>
      </c>
      <c r="D103" s="4" t="s">
        <v>1034</v>
      </c>
      <c r="E103" s="4" t="s">
        <v>1035</v>
      </c>
      <c r="F103" s="4" t="s">
        <v>1036</v>
      </c>
      <c r="G103" s="5" t="s">
        <v>241</v>
      </c>
      <c r="H103" s="5" t="s">
        <v>1004</v>
      </c>
      <c r="I103" s="4" t="s">
        <v>1037</v>
      </c>
    </row>
    <row r="104" ht="40" customHeight="1" spans="1:9">
      <c r="A104" s="4" t="s">
        <v>999</v>
      </c>
      <c r="B104" s="4" t="s">
        <v>1000</v>
      </c>
      <c r="C104" s="4" t="s">
        <v>1038</v>
      </c>
      <c r="D104" s="4" t="s">
        <v>532</v>
      </c>
      <c r="E104" s="4" t="s">
        <v>533</v>
      </c>
      <c r="F104" s="4" t="s">
        <v>534</v>
      </c>
      <c r="G104" s="5" t="s">
        <v>531</v>
      </c>
      <c r="H104" s="5" t="s">
        <v>1031</v>
      </c>
      <c r="I104" s="4" t="s">
        <v>1032</v>
      </c>
    </row>
    <row r="105" ht="40" customHeight="1" spans="1:9">
      <c r="A105" s="4" t="s">
        <v>999</v>
      </c>
      <c r="B105" s="4" t="s">
        <v>1000</v>
      </c>
      <c r="C105" s="4" t="s">
        <v>1039</v>
      </c>
      <c r="D105" s="4" t="s">
        <v>1040</v>
      </c>
      <c r="E105" s="4" t="s">
        <v>538</v>
      </c>
      <c r="F105" s="4" t="s">
        <v>1041</v>
      </c>
      <c r="G105" s="5" t="s">
        <v>308</v>
      </c>
      <c r="H105" s="5" t="s">
        <v>1004</v>
      </c>
      <c r="I105" s="4" t="s">
        <v>1042</v>
      </c>
    </row>
    <row r="106" ht="40" customHeight="1" spans="1:9">
      <c r="A106" s="4" t="s">
        <v>999</v>
      </c>
      <c r="B106" s="4" t="s">
        <v>1000</v>
      </c>
      <c r="C106" s="4" t="s">
        <v>1043</v>
      </c>
      <c r="D106" s="4" t="s">
        <v>537</v>
      </c>
      <c r="E106" s="4" t="s">
        <v>538</v>
      </c>
      <c r="F106" s="4" t="s">
        <v>539</v>
      </c>
      <c r="G106" s="5" t="s">
        <v>536</v>
      </c>
      <c r="H106" s="5" t="s">
        <v>1031</v>
      </c>
      <c r="I106" s="4" t="s">
        <v>1032</v>
      </c>
    </row>
    <row r="107" ht="40" customHeight="1" spans="1:9">
      <c r="A107" s="4" t="s">
        <v>999</v>
      </c>
      <c r="B107" s="4" t="s">
        <v>1000</v>
      </c>
      <c r="C107" s="4" t="s">
        <v>1044</v>
      </c>
      <c r="D107" s="4" t="s">
        <v>542</v>
      </c>
      <c r="E107" s="4" t="s">
        <v>533</v>
      </c>
      <c r="F107" s="4" t="s">
        <v>543</v>
      </c>
      <c r="G107" s="5" t="s">
        <v>541</v>
      </c>
      <c r="H107" s="5" t="s">
        <v>1031</v>
      </c>
      <c r="I107" s="4" t="s">
        <v>1032</v>
      </c>
    </row>
    <row r="108" ht="40" customHeight="1" spans="1:9">
      <c r="A108" s="4" t="s">
        <v>999</v>
      </c>
      <c r="B108" s="4" t="s">
        <v>1000</v>
      </c>
      <c r="C108" s="4" t="s">
        <v>1045</v>
      </c>
      <c r="D108" s="4" t="s">
        <v>1046</v>
      </c>
      <c r="E108" s="4" t="s">
        <v>533</v>
      </c>
      <c r="F108" s="4" t="s">
        <v>1047</v>
      </c>
      <c r="G108" s="5" t="s">
        <v>71</v>
      </c>
      <c r="H108" s="5" t="s">
        <v>1004</v>
      </c>
      <c r="I108" s="4" t="s">
        <v>1048</v>
      </c>
    </row>
    <row r="109" ht="40" customHeight="1" spans="1:9">
      <c r="A109" s="4" t="s">
        <v>999</v>
      </c>
      <c r="B109" s="4" t="s">
        <v>1000</v>
      </c>
      <c r="C109" s="4" t="s">
        <v>1049</v>
      </c>
      <c r="D109" s="4" t="s">
        <v>546</v>
      </c>
      <c r="E109" s="4" t="s">
        <v>547</v>
      </c>
      <c r="F109" s="4" t="s">
        <v>548</v>
      </c>
      <c r="G109" s="5" t="s">
        <v>545</v>
      </c>
      <c r="H109" s="5" t="s">
        <v>1031</v>
      </c>
      <c r="I109" s="4" t="s">
        <v>1032</v>
      </c>
    </row>
    <row r="110" ht="40" customHeight="1" spans="1:9">
      <c r="A110" s="4" t="s">
        <v>999</v>
      </c>
      <c r="B110" s="4" t="s">
        <v>1000</v>
      </c>
      <c r="C110" s="4" t="s">
        <v>1050</v>
      </c>
      <c r="D110" s="4" t="s">
        <v>1051</v>
      </c>
      <c r="E110" s="4" t="s">
        <v>533</v>
      </c>
      <c r="F110" s="4" t="s">
        <v>1052</v>
      </c>
      <c r="G110" s="5" t="s">
        <v>109</v>
      </c>
      <c r="H110" s="5" t="s">
        <v>1004</v>
      </c>
      <c r="I110" s="4" t="s">
        <v>1053</v>
      </c>
    </row>
    <row r="111" ht="40" customHeight="1" spans="1:9">
      <c r="A111" s="4" t="s">
        <v>999</v>
      </c>
      <c r="B111" s="4" t="s">
        <v>1000</v>
      </c>
      <c r="C111" s="4" t="s">
        <v>1054</v>
      </c>
      <c r="D111" s="4" t="s">
        <v>1055</v>
      </c>
      <c r="E111" s="4" t="s">
        <v>533</v>
      </c>
      <c r="F111" s="4" t="s">
        <v>1056</v>
      </c>
      <c r="G111" s="5" t="s">
        <v>246</v>
      </c>
      <c r="H111" s="5" t="s">
        <v>1004</v>
      </c>
      <c r="I111" s="4" t="s">
        <v>1057</v>
      </c>
    </row>
    <row r="112" ht="40" customHeight="1" spans="1:9">
      <c r="A112" s="4" t="s">
        <v>999</v>
      </c>
      <c r="B112" s="4" t="s">
        <v>1000</v>
      </c>
      <c r="C112" s="4" t="s">
        <v>1058</v>
      </c>
      <c r="D112" s="4" t="s">
        <v>551</v>
      </c>
      <c r="E112" s="4" t="s">
        <v>525</v>
      </c>
      <c r="F112" s="4" t="s">
        <v>552</v>
      </c>
      <c r="G112" s="5" t="s">
        <v>550</v>
      </c>
      <c r="H112" s="5" t="s">
        <v>1031</v>
      </c>
      <c r="I112" s="4" t="s">
        <v>1032</v>
      </c>
    </row>
    <row r="113" ht="40" customHeight="1" spans="1:9">
      <c r="A113" s="4" t="s">
        <v>999</v>
      </c>
      <c r="B113" s="4" t="s">
        <v>1000</v>
      </c>
      <c r="C113" s="4" t="s">
        <v>1059</v>
      </c>
      <c r="D113" s="4" t="s">
        <v>1060</v>
      </c>
      <c r="E113" s="4" t="s">
        <v>533</v>
      </c>
      <c r="F113" s="4" t="s">
        <v>1061</v>
      </c>
      <c r="G113" s="5" t="s">
        <v>117</v>
      </c>
      <c r="H113" s="5" t="s">
        <v>1004</v>
      </c>
      <c r="I113" s="4" t="s">
        <v>1062</v>
      </c>
    </row>
    <row r="114" ht="40" customHeight="1" spans="1:9">
      <c r="A114" s="4" t="s">
        <v>999</v>
      </c>
      <c r="B114" s="4" t="s">
        <v>1000</v>
      </c>
      <c r="C114" s="4" t="s">
        <v>1063</v>
      </c>
      <c r="D114" s="4" t="s">
        <v>1064</v>
      </c>
      <c r="E114" s="4" t="s">
        <v>533</v>
      </c>
      <c r="F114" s="4" t="s">
        <v>1065</v>
      </c>
      <c r="G114" s="5" t="s">
        <v>183</v>
      </c>
      <c r="H114" s="5" t="s">
        <v>1004</v>
      </c>
      <c r="I114" s="4" t="s">
        <v>1066</v>
      </c>
    </row>
    <row r="115" ht="40" customHeight="1" spans="1:9">
      <c r="A115" s="4" t="s">
        <v>999</v>
      </c>
      <c r="B115" s="4" t="s">
        <v>1000</v>
      </c>
      <c r="C115" s="4" t="s">
        <v>1067</v>
      </c>
      <c r="D115" s="4" t="s">
        <v>1068</v>
      </c>
      <c r="E115" s="4" t="s">
        <v>533</v>
      </c>
      <c r="F115" s="4" t="s">
        <v>1069</v>
      </c>
      <c r="G115" s="5" t="s">
        <v>268</v>
      </c>
      <c r="H115" s="5" t="s">
        <v>1004</v>
      </c>
      <c r="I115" s="4" t="s">
        <v>1070</v>
      </c>
    </row>
    <row r="116" ht="40" customHeight="1" spans="1:9">
      <c r="A116" s="4" t="s">
        <v>999</v>
      </c>
      <c r="B116" s="4" t="s">
        <v>1000</v>
      </c>
      <c r="C116" s="4" t="s">
        <v>1071</v>
      </c>
      <c r="D116" s="4" t="s">
        <v>1072</v>
      </c>
      <c r="E116" s="4" t="s">
        <v>533</v>
      </c>
      <c r="F116" s="4" t="s">
        <v>1073</v>
      </c>
      <c r="G116" s="5" t="s">
        <v>167</v>
      </c>
      <c r="H116" s="5" t="s">
        <v>1004</v>
      </c>
      <c r="I116" s="4" t="s">
        <v>1074</v>
      </c>
    </row>
    <row r="117" ht="40" customHeight="1" spans="1:9">
      <c r="A117" s="4" t="s">
        <v>999</v>
      </c>
      <c r="B117" s="4" t="s">
        <v>1000</v>
      </c>
      <c r="C117" s="4" t="s">
        <v>1075</v>
      </c>
      <c r="D117" s="4" t="s">
        <v>1076</v>
      </c>
      <c r="E117" s="4" t="s">
        <v>533</v>
      </c>
      <c r="F117" s="4" t="s">
        <v>1077</v>
      </c>
      <c r="G117" s="5" t="s">
        <v>272</v>
      </c>
      <c r="H117" s="5" t="s">
        <v>1004</v>
      </c>
      <c r="I117" s="4" t="s">
        <v>1078</v>
      </c>
    </row>
    <row r="118" ht="40" customHeight="1" spans="1:9">
      <c r="A118" s="4" t="s">
        <v>999</v>
      </c>
      <c r="B118" s="4" t="s">
        <v>1000</v>
      </c>
      <c r="C118" s="4" t="s">
        <v>1079</v>
      </c>
      <c r="D118" s="4" t="s">
        <v>1080</v>
      </c>
      <c r="E118" s="4" t="s">
        <v>538</v>
      </c>
      <c r="F118" s="4" t="s">
        <v>1081</v>
      </c>
      <c r="G118" s="5" t="s">
        <v>276</v>
      </c>
      <c r="H118" s="5" t="s">
        <v>1004</v>
      </c>
      <c r="I118" s="4" t="s">
        <v>1082</v>
      </c>
    </row>
    <row r="119" ht="40" customHeight="1" spans="1:9">
      <c r="A119" s="4" t="s">
        <v>999</v>
      </c>
      <c r="B119" s="4" t="s">
        <v>1000</v>
      </c>
      <c r="C119" s="4" t="s">
        <v>1083</v>
      </c>
      <c r="D119" s="4" t="s">
        <v>1084</v>
      </c>
      <c r="E119" s="4" t="s">
        <v>525</v>
      </c>
      <c r="F119" s="4" t="s">
        <v>1085</v>
      </c>
      <c r="G119" s="5" t="s">
        <v>149</v>
      </c>
      <c r="H119" s="5" t="s">
        <v>1004</v>
      </c>
      <c r="I119" s="4" t="s">
        <v>1086</v>
      </c>
    </row>
    <row r="120" ht="40" customHeight="1" spans="1:9">
      <c r="A120" s="4" t="s">
        <v>999</v>
      </c>
      <c r="B120" s="4" t="s">
        <v>1000</v>
      </c>
      <c r="C120" s="4" t="s">
        <v>1087</v>
      </c>
      <c r="D120" s="4" t="s">
        <v>556</v>
      </c>
      <c r="E120" s="4" t="s">
        <v>557</v>
      </c>
      <c r="F120" s="4" t="s">
        <v>558</v>
      </c>
      <c r="G120" s="5" t="s">
        <v>555</v>
      </c>
      <c r="H120" s="5" t="s">
        <v>1031</v>
      </c>
      <c r="I120" s="4" t="s">
        <v>1032</v>
      </c>
    </row>
    <row r="121" ht="40" customHeight="1" spans="1:9">
      <c r="A121" s="4" t="s">
        <v>999</v>
      </c>
      <c r="B121" s="4" t="s">
        <v>1000</v>
      </c>
      <c r="C121" s="4" t="s">
        <v>1088</v>
      </c>
      <c r="D121" s="4" t="s">
        <v>561</v>
      </c>
      <c r="E121" s="4" t="s">
        <v>562</v>
      </c>
      <c r="F121" s="4" t="s">
        <v>563</v>
      </c>
      <c r="G121" s="5" t="s">
        <v>560</v>
      </c>
      <c r="H121" s="5" t="s">
        <v>1031</v>
      </c>
      <c r="I121" s="4" t="s">
        <v>1032</v>
      </c>
    </row>
    <row r="122" ht="40" customHeight="1" spans="1:9">
      <c r="A122" s="4" t="s">
        <v>999</v>
      </c>
      <c r="B122" s="4" t="s">
        <v>1000</v>
      </c>
      <c r="C122" s="4" t="s">
        <v>1089</v>
      </c>
      <c r="D122" s="4" t="s">
        <v>1090</v>
      </c>
      <c r="E122" s="4" t="s">
        <v>533</v>
      </c>
      <c r="F122" s="4" t="s">
        <v>1091</v>
      </c>
      <c r="G122" s="5" t="s">
        <v>96</v>
      </c>
      <c r="H122" s="5" t="s">
        <v>1004</v>
      </c>
      <c r="I122" s="4" t="s">
        <v>1092</v>
      </c>
    </row>
    <row r="123" ht="40" customHeight="1" spans="1:9">
      <c r="A123" s="4" t="s">
        <v>999</v>
      </c>
      <c r="B123" s="4" t="s">
        <v>1000</v>
      </c>
      <c r="C123" s="4" t="s">
        <v>1093</v>
      </c>
      <c r="D123" s="4" t="s">
        <v>566</v>
      </c>
      <c r="E123" s="4" t="s">
        <v>525</v>
      </c>
      <c r="F123" s="4" t="s">
        <v>567</v>
      </c>
      <c r="G123" s="5" t="s">
        <v>565</v>
      </c>
      <c r="H123" s="5" t="s">
        <v>1031</v>
      </c>
      <c r="I123" s="4" t="s">
        <v>1032</v>
      </c>
    </row>
    <row r="124" ht="40" customHeight="1" spans="1:9">
      <c r="A124" s="4" t="s">
        <v>999</v>
      </c>
      <c r="B124" s="4" t="s">
        <v>1000</v>
      </c>
      <c r="C124" s="4" t="s">
        <v>1094</v>
      </c>
      <c r="D124" s="4" t="s">
        <v>1095</v>
      </c>
      <c r="E124" s="4" t="s">
        <v>533</v>
      </c>
      <c r="F124" s="4" t="s">
        <v>1096</v>
      </c>
      <c r="G124" s="5" t="s">
        <v>174</v>
      </c>
      <c r="H124" s="5" t="s">
        <v>1004</v>
      </c>
      <c r="I124" s="4" t="s">
        <v>1097</v>
      </c>
    </row>
    <row r="125" ht="40" customHeight="1" spans="1:9">
      <c r="A125" s="4" t="s">
        <v>999</v>
      </c>
      <c r="B125" s="4" t="s">
        <v>1000</v>
      </c>
      <c r="C125" s="4" t="s">
        <v>1098</v>
      </c>
      <c r="D125" s="4" t="s">
        <v>571</v>
      </c>
      <c r="E125" s="4" t="s">
        <v>533</v>
      </c>
      <c r="F125" s="4" t="s">
        <v>572</v>
      </c>
      <c r="G125" s="5" t="s">
        <v>570</v>
      </c>
      <c r="H125" s="5" t="s">
        <v>1031</v>
      </c>
      <c r="I125" s="4" t="s">
        <v>1032</v>
      </c>
    </row>
    <row r="126" ht="40" customHeight="1" spans="1:9">
      <c r="A126" s="4" t="s">
        <v>999</v>
      </c>
      <c r="B126" s="4" t="s">
        <v>1000</v>
      </c>
      <c r="C126" s="4" t="s">
        <v>1099</v>
      </c>
      <c r="D126" s="4" t="s">
        <v>1100</v>
      </c>
      <c r="E126" s="4" t="s">
        <v>533</v>
      </c>
      <c r="F126" s="4" t="s">
        <v>1101</v>
      </c>
      <c r="G126" s="5" t="s">
        <v>127</v>
      </c>
      <c r="H126" s="5" t="s">
        <v>1004</v>
      </c>
      <c r="I126" s="4" t="s">
        <v>1102</v>
      </c>
    </row>
    <row r="127" ht="40" customHeight="1" spans="1:9">
      <c r="A127" s="4" t="s">
        <v>999</v>
      </c>
      <c r="B127" s="4" t="s">
        <v>1000</v>
      </c>
      <c r="C127" s="4" t="s">
        <v>1103</v>
      </c>
      <c r="D127" s="4" t="s">
        <v>575</v>
      </c>
      <c r="E127" s="4" t="s">
        <v>533</v>
      </c>
      <c r="F127" s="4" t="s">
        <v>576</v>
      </c>
      <c r="G127" s="5" t="s">
        <v>574</v>
      </c>
      <c r="H127" s="5" t="s">
        <v>1031</v>
      </c>
      <c r="I127" s="4" t="s">
        <v>1032</v>
      </c>
    </row>
    <row r="128" ht="40" customHeight="1" spans="1:9">
      <c r="A128" s="4" t="s">
        <v>999</v>
      </c>
      <c r="B128" s="4" t="s">
        <v>1000</v>
      </c>
      <c r="C128" s="4" t="s">
        <v>1104</v>
      </c>
      <c r="D128" s="4" t="s">
        <v>1105</v>
      </c>
      <c r="E128" s="4" t="s">
        <v>533</v>
      </c>
      <c r="F128" s="4" t="s">
        <v>1106</v>
      </c>
      <c r="G128" s="5" t="s">
        <v>104</v>
      </c>
      <c r="H128" s="5" t="s">
        <v>1004</v>
      </c>
      <c r="I128" s="4" t="s">
        <v>1107</v>
      </c>
    </row>
    <row r="129" ht="40" customHeight="1" spans="1:9">
      <c r="A129" s="4" t="s">
        <v>999</v>
      </c>
      <c r="B129" s="4" t="s">
        <v>1000</v>
      </c>
      <c r="C129" s="4" t="s">
        <v>1108</v>
      </c>
      <c r="D129" s="4" t="s">
        <v>1109</v>
      </c>
      <c r="E129" s="4" t="s">
        <v>533</v>
      </c>
      <c r="F129" s="4" t="s">
        <v>1110</v>
      </c>
      <c r="G129" s="5" t="s">
        <v>51</v>
      </c>
      <c r="H129" s="5" t="s">
        <v>1004</v>
      </c>
      <c r="I129" s="4" t="s">
        <v>1017</v>
      </c>
    </row>
    <row r="130" ht="40" customHeight="1" spans="1:9">
      <c r="A130" s="4" t="s">
        <v>999</v>
      </c>
      <c r="B130" s="4" t="s">
        <v>1000</v>
      </c>
      <c r="C130" s="4" t="s">
        <v>1111</v>
      </c>
      <c r="D130" s="4" t="s">
        <v>1112</v>
      </c>
      <c r="E130" s="4" t="s">
        <v>533</v>
      </c>
      <c r="F130" s="4" t="s">
        <v>1113</v>
      </c>
      <c r="G130" s="5" t="s">
        <v>188</v>
      </c>
      <c r="H130" s="5" t="s">
        <v>1004</v>
      </c>
      <c r="I130" s="4" t="s">
        <v>1114</v>
      </c>
    </row>
    <row r="131" ht="40" customHeight="1" spans="1:9">
      <c r="A131" s="4" t="s">
        <v>999</v>
      </c>
      <c r="B131" s="4" t="s">
        <v>1000</v>
      </c>
      <c r="C131" s="4" t="s">
        <v>1115</v>
      </c>
      <c r="D131" s="4" t="s">
        <v>1116</v>
      </c>
      <c r="E131" s="4" t="s">
        <v>525</v>
      </c>
      <c r="F131" s="4" t="s">
        <v>1117</v>
      </c>
      <c r="G131" s="5" t="s">
        <v>149</v>
      </c>
      <c r="H131" s="5" t="s">
        <v>1004</v>
      </c>
      <c r="I131" s="4" t="s">
        <v>1086</v>
      </c>
    </row>
    <row r="132" ht="40" customHeight="1" spans="1:9">
      <c r="A132" s="4" t="s">
        <v>999</v>
      </c>
      <c r="B132" s="4" t="s">
        <v>1000</v>
      </c>
      <c r="C132" s="4" t="s">
        <v>1118</v>
      </c>
      <c r="D132" s="4" t="s">
        <v>1119</v>
      </c>
      <c r="E132" s="4" t="s">
        <v>533</v>
      </c>
      <c r="F132" s="4" t="s">
        <v>1120</v>
      </c>
      <c r="G132" s="5" t="s">
        <v>179</v>
      </c>
      <c r="H132" s="5" t="s">
        <v>1004</v>
      </c>
      <c r="I132" s="4" t="s">
        <v>1121</v>
      </c>
    </row>
    <row r="133" ht="40" customHeight="1" spans="1:9">
      <c r="A133" s="4" t="s">
        <v>999</v>
      </c>
      <c r="B133" s="4" t="s">
        <v>1000</v>
      </c>
      <c r="C133" s="4" t="s">
        <v>1122</v>
      </c>
      <c r="D133" s="4" t="s">
        <v>579</v>
      </c>
      <c r="E133" s="4" t="s">
        <v>580</v>
      </c>
      <c r="F133" s="4" t="s">
        <v>581</v>
      </c>
      <c r="G133" s="5" t="s">
        <v>578</v>
      </c>
      <c r="H133" s="5" t="s">
        <v>1031</v>
      </c>
      <c r="I133" s="4" t="s">
        <v>1032</v>
      </c>
    </row>
    <row r="134" ht="40" customHeight="1" spans="1:9">
      <c r="A134" s="4" t="s">
        <v>999</v>
      </c>
      <c r="B134" s="4" t="s">
        <v>1000</v>
      </c>
      <c r="C134" s="4" t="s">
        <v>1123</v>
      </c>
      <c r="D134" s="4" t="s">
        <v>584</v>
      </c>
      <c r="E134" s="4" t="s">
        <v>547</v>
      </c>
      <c r="F134" s="4" t="s">
        <v>585</v>
      </c>
      <c r="G134" s="5" t="s">
        <v>583</v>
      </c>
      <c r="H134" s="5" t="s">
        <v>1031</v>
      </c>
      <c r="I134" s="4" t="s">
        <v>1032</v>
      </c>
    </row>
    <row r="135" ht="40" customHeight="1" spans="1:9">
      <c r="A135" s="4" t="s">
        <v>999</v>
      </c>
      <c r="B135" s="4" t="s">
        <v>1000</v>
      </c>
      <c r="C135" s="4" t="s">
        <v>1124</v>
      </c>
      <c r="D135" s="4" t="s">
        <v>588</v>
      </c>
      <c r="E135" s="4" t="s">
        <v>589</v>
      </c>
      <c r="F135" s="4" t="s">
        <v>590</v>
      </c>
      <c r="G135" s="5" t="s">
        <v>587</v>
      </c>
      <c r="H135" s="5" t="s">
        <v>1031</v>
      </c>
      <c r="I135" s="4" t="s">
        <v>1032</v>
      </c>
    </row>
    <row r="136" ht="40" customHeight="1" spans="1:9">
      <c r="A136" s="4" t="s">
        <v>999</v>
      </c>
      <c r="B136" s="4" t="s">
        <v>1000</v>
      </c>
      <c r="C136" s="4" t="s">
        <v>1125</v>
      </c>
      <c r="D136" s="4" t="s">
        <v>1126</v>
      </c>
      <c r="E136" s="4" t="s">
        <v>533</v>
      </c>
      <c r="F136" s="4" t="s">
        <v>1127</v>
      </c>
      <c r="G136" s="5" t="s">
        <v>251</v>
      </c>
      <c r="H136" s="5" t="s">
        <v>1004</v>
      </c>
      <c r="I136" s="4" t="s">
        <v>1128</v>
      </c>
    </row>
    <row r="137" ht="40" customHeight="1" spans="1:9">
      <c r="A137" s="4" t="s">
        <v>999</v>
      </c>
      <c r="B137" s="4" t="s">
        <v>1000</v>
      </c>
      <c r="C137" s="4" t="s">
        <v>1129</v>
      </c>
      <c r="D137" s="4" t="s">
        <v>1130</v>
      </c>
      <c r="E137" s="4" t="s">
        <v>533</v>
      </c>
      <c r="F137" s="4" t="s">
        <v>1131</v>
      </c>
      <c r="G137" s="5" t="s">
        <v>257</v>
      </c>
      <c r="H137" s="5" t="s">
        <v>1004</v>
      </c>
      <c r="I137" s="4" t="s">
        <v>1132</v>
      </c>
    </row>
    <row r="138" ht="40" customHeight="1" spans="1:9">
      <c r="A138" s="4" t="s">
        <v>999</v>
      </c>
      <c r="B138" s="4" t="s">
        <v>1000</v>
      </c>
      <c r="C138" s="4" t="s">
        <v>1133</v>
      </c>
      <c r="D138" s="4" t="s">
        <v>593</v>
      </c>
      <c r="E138" s="4" t="s">
        <v>594</v>
      </c>
      <c r="F138" s="4" t="s">
        <v>595</v>
      </c>
      <c r="G138" s="5" t="s">
        <v>592</v>
      </c>
      <c r="H138" s="5" t="s">
        <v>1031</v>
      </c>
      <c r="I138" s="4" t="s">
        <v>1032</v>
      </c>
    </row>
    <row r="139" ht="40" customHeight="1" spans="1:9">
      <c r="A139" s="4" t="s">
        <v>999</v>
      </c>
      <c r="B139" s="4" t="s">
        <v>1000</v>
      </c>
      <c r="C139" s="4" t="s">
        <v>1134</v>
      </c>
      <c r="D139" s="4" t="s">
        <v>599</v>
      </c>
      <c r="E139" s="4" t="s">
        <v>538</v>
      </c>
      <c r="F139" s="4" t="s">
        <v>600</v>
      </c>
      <c r="G139" s="5" t="s">
        <v>598</v>
      </c>
      <c r="H139" s="5" t="s">
        <v>1031</v>
      </c>
      <c r="I139" s="4" t="s">
        <v>1032</v>
      </c>
    </row>
    <row r="140" ht="40" customHeight="1" spans="1:9">
      <c r="A140" s="4" t="s">
        <v>999</v>
      </c>
      <c r="B140" s="4" t="s">
        <v>1000</v>
      </c>
      <c r="C140" s="4" t="s">
        <v>1135</v>
      </c>
      <c r="D140" s="4" t="s">
        <v>603</v>
      </c>
      <c r="E140" s="4" t="s">
        <v>533</v>
      </c>
      <c r="F140" s="4" t="s">
        <v>604</v>
      </c>
      <c r="G140" s="5" t="s">
        <v>602</v>
      </c>
      <c r="H140" s="5" t="s">
        <v>1031</v>
      </c>
      <c r="I140" s="4" t="s">
        <v>1032</v>
      </c>
    </row>
    <row r="141" ht="40" customHeight="1" spans="1:9">
      <c r="A141" s="4" t="s">
        <v>999</v>
      </c>
      <c r="B141" s="4" t="s">
        <v>1000</v>
      </c>
      <c r="C141" s="4" t="s">
        <v>1136</v>
      </c>
      <c r="D141" s="4" t="s">
        <v>1137</v>
      </c>
      <c r="E141" s="4" t="s">
        <v>1138</v>
      </c>
      <c r="F141" s="4" t="s">
        <v>1139</v>
      </c>
      <c r="G141" s="5" t="s">
        <v>455</v>
      </c>
      <c r="H141" s="5" t="s">
        <v>1004</v>
      </c>
      <c r="I141" s="4" t="s">
        <v>1140</v>
      </c>
    </row>
    <row r="142" ht="40" customHeight="1" spans="1:9">
      <c r="A142" s="4" t="s">
        <v>999</v>
      </c>
      <c r="B142" s="4" t="s">
        <v>1000</v>
      </c>
      <c r="C142" s="4" t="s">
        <v>1141</v>
      </c>
      <c r="D142" s="4" t="s">
        <v>607</v>
      </c>
      <c r="E142" s="4" t="s">
        <v>533</v>
      </c>
      <c r="F142" s="4" t="s">
        <v>608</v>
      </c>
      <c r="G142" s="5" t="s">
        <v>606</v>
      </c>
      <c r="H142" s="5" t="s">
        <v>1031</v>
      </c>
      <c r="I142" s="4" t="s">
        <v>1032</v>
      </c>
    </row>
    <row r="143" ht="40" customHeight="1" spans="1:9">
      <c r="A143" s="4" t="s">
        <v>999</v>
      </c>
      <c r="B143" s="4" t="s">
        <v>1000</v>
      </c>
      <c r="C143" s="4" t="s">
        <v>1142</v>
      </c>
      <c r="D143" s="4" t="s">
        <v>1143</v>
      </c>
      <c r="E143" s="4" t="s">
        <v>533</v>
      </c>
      <c r="F143" s="4" t="s">
        <v>1144</v>
      </c>
      <c r="G143" s="5" t="s">
        <v>296</v>
      </c>
      <c r="H143" s="5" t="s">
        <v>1004</v>
      </c>
      <c r="I143" s="4" t="s">
        <v>1145</v>
      </c>
    </row>
    <row r="144" ht="40" customHeight="1" spans="1:9">
      <c r="A144" s="4" t="s">
        <v>999</v>
      </c>
      <c r="B144" s="4" t="s">
        <v>1000</v>
      </c>
      <c r="C144" s="4" t="s">
        <v>1146</v>
      </c>
      <c r="D144" s="4" t="s">
        <v>1147</v>
      </c>
      <c r="E144" s="4" t="s">
        <v>533</v>
      </c>
      <c r="F144" s="4" t="s">
        <v>1148</v>
      </c>
      <c r="G144" s="5" t="s">
        <v>284</v>
      </c>
      <c r="H144" s="5" t="s">
        <v>1004</v>
      </c>
      <c r="I144" s="4" t="s">
        <v>1149</v>
      </c>
    </row>
    <row r="145" ht="40" customHeight="1" spans="1:9">
      <c r="A145" s="4" t="s">
        <v>999</v>
      </c>
      <c r="B145" s="4" t="s">
        <v>1000</v>
      </c>
      <c r="C145" s="4" t="s">
        <v>1150</v>
      </c>
      <c r="D145" s="4" t="s">
        <v>1151</v>
      </c>
      <c r="E145" s="4" t="s">
        <v>533</v>
      </c>
      <c r="F145" s="4" t="s">
        <v>1152</v>
      </c>
      <c r="G145" s="5" t="s">
        <v>198</v>
      </c>
      <c r="H145" s="5" t="s">
        <v>1004</v>
      </c>
      <c r="I145" s="4" t="s">
        <v>1153</v>
      </c>
    </row>
    <row r="146" ht="40" customHeight="1" spans="1:9">
      <c r="A146" s="4" t="s">
        <v>999</v>
      </c>
      <c r="B146" s="4" t="s">
        <v>1000</v>
      </c>
      <c r="C146" s="4" t="s">
        <v>1154</v>
      </c>
      <c r="D146" s="4" t="s">
        <v>1155</v>
      </c>
      <c r="E146" s="4" t="s">
        <v>533</v>
      </c>
      <c r="F146" s="4" t="s">
        <v>1156</v>
      </c>
      <c r="G146" s="5" t="s">
        <v>304</v>
      </c>
      <c r="H146" s="5" t="s">
        <v>1004</v>
      </c>
      <c r="I146" s="4" t="s">
        <v>1157</v>
      </c>
    </row>
    <row r="147" ht="40" customHeight="1" spans="1:9">
      <c r="A147" s="4" t="s">
        <v>999</v>
      </c>
      <c r="B147" s="4" t="s">
        <v>1000</v>
      </c>
      <c r="C147" s="4" t="s">
        <v>1158</v>
      </c>
      <c r="D147" s="4" t="s">
        <v>1159</v>
      </c>
      <c r="E147" s="4" t="s">
        <v>538</v>
      </c>
      <c r="F147" s="4" t="s">
        <v>1160</v>
      </c>
      <c r="G147" s="5" t="s">
        <v>300</v>
      </c>
      <c r="H147" s="5" t="s">
        <v>1004</v>
      </c>
      <c r="I147" s="4" t="s">
        <v>1161</v>
      </c>
    </row>
    <row r="148" ht="40" customHeight="1" spans="1:9">
      <c r="A148" s="4" t="s">
        <v>999</v>
      </c>
      <c r="B148" s="4" t="s">
        <v>1000</v>
      </c>
      <c r="C148" s="4" t="s">
        <v>1162</v>
      </c>
      <c r="D148" s="4" t="s">
        <v>611</v>
      </c>
      <c r="E148" s="4" t="s">
        <v>612</v>
      </c>
      <c r="F148" s="4" t="s">
        <v>613</v>
      </c>
      <c r="G148" s="5" t="s">
        <v>610</v>
      </c>
      <c r="H148" s="5" t="s">
        <v>1031</v>
      </c>
      <c r="I148" s="4" t="s">
        <v>1032</v>
      </c>
    </row>
    <row r="149" ht="40" customHeight="1" spans="1:9">
      <c r="A149" s="4" t="s">
        <v>999</v>
      </c>
      <c r="B149" s="4" t="s">
        <v>1000</v>
      </c>
      <c r="C149" s="4" t="s">
        <v>1163</v>
      </c>
      <c r="D149" s="4" t="s">
        <v>618</v>
      </c>
      <c r="E149" s="4" t="s">
        <v>619</v>
      </c>
      <c r="F149" s="4" t="s">
        <v>620</v>
      </c>
      <c r="G149" s="5" t="s">
        <v>617</v>
      </c>
      <c r="H149" s="5" t="s">
        <v>1031</v>
      </c>
      <c r="I149" s="4" t="s">
        <v>1032</v>
      </c>
    </row>
    <row r="150" ht="40" customHeight="1" spans="1:9">
      <c r="A150" s="4" t="s">
        <v>999</v>
      </c>
      <c r="B150" s="4" t="s">
        <v>1000</v>
      </c>
      <c r="C150" s="4" t="s">
        <v>1164</v>
      </c>
      <c r="D150" s="4" t="s">
        <v>623</v>
      </c>
      <c r="E150" s="4" t="s">
        <v>624</v>
      </c>
      <c r="F150" s="4" t="s">
        <v>625</v>
      </c>
      <c r="G150" s="5" t="s">
        <v>622</v>
      </c>
      <c r="H150" s="5" t="s">
        <v>1031</v>
      </c>
      <c r="I150" s="4" t="s">
        <v>1032</v>
      </c>
    </row>
    <row r="151" ht="40" customHeight="1" spans="1:9">
      <c r="A151" s="4" t="s">
        <v>999</v>
      </c>
      <c r="B151" s="4" t="s">
        <v>1000</v>
      </c>
      <c r="C151" s="4" t="s">
        <v>1165</v>
      </c>
      <c r="D151" s="4" t="s">
        <v>628</v>
      </c>
      <c r="E151" s="4" t="s">
        <v>612</v>
      </c>
      <c r="F151" s="4" t="s">
        <v>629</v>
      </c>
      <c r="G151" s="5" t="s">
        <v>627</v>
      </c>
      <c r="H151" s="5" t="s">
        <v>1031</v>
      </c>
      <c r="I151" s="4" t="s">
        <v>1032</v>
      </c>
    </row>
    <row r="152" ht="40" customHeight="1" spans="1:9">
      <c r="A152" s="4" t="s">
        <v>999</v>
      </c>
      <c r="B152" s="4" t="s">
        <v>1000</v>
      </c>
      <c r="C152" s="4" t="s">
        <v>1166</v>
      </c>
      <c r="D152" s="4" t="s">
        <v>1167</v>
      </c>
      <c r="E152" s="4" t="s">
        <v>1168</v>
      </c>
      <c r="F152" s="4" t="s">
        <v>1169</v>
      </c>
      <c r="G152" s="5" t="s">
        <v>442</v>
      </c>
      <c r="H152" s="5" t="s">
        <v>1004</v>
      </c>
      <c r="I152" s="4" t="s">
        <v>1170</v>
      </c>
    </row>
    <row r="153" ht="40" customHeight="1" spans="1:9">
      <c r="A153" s="4" t="s">
        <v>999</v>
      </c>
      <c r="B153" s="4" t="s">
        <v>1000</v>
      </c>
      <c r="C153" s="4" t="s">
        <v>1171</v>
      </c>
      <c r="D153" s="4" t="s">
        <v>632</v>
      </c>
      <c r="E153" s="4" t="s">
        <v>633</v>
      </c>
      <c r="F153" s="4" t="s">
        <v>634</v>
      </c>
      <c r="G153" s="5" t="s">
        <v>631</v>
      </c>
      <c r="H153" s="5" t="s">
        <v>1031</v>
      </c>
      <c r="I153" s="4" t="s">
        <v>1032</v>
      </c>
    </row>
    <row r="154" ht="40" customHeight="1" spans="1:9">
      <c r="A154" s="4" t="s">
        <v>999</v>
      </c>
      <c r="B154" s="4" t="s">
        <v>1000</v>
      </c>
      <c r="C154" s="4" t="s">
        <v>1172</v>
      </c>
      <c r="D154" s="4" t="s">
        <v>1173</v>
      </c>
      <c r="E154" s="4" t="s">
        <v>638</v>
      </c>
      <c r="F154" s="4" t="s">
        <v>1174</v>
      </c>
      <c r="G154" s="5" t="s">
        <v>455</v>
      </c>
      <c r="H154" s="5" t="s">
        <v>1004</v>
      </c>
      <c r="I154" s="4" t="s">
        <v>1140</v>
      </c>
    </row>
    <row r="155" ht="40" customHeight="1" spans="1:9">
      <c r="A155" s="4" t="s">
        <v>999</v>
      </c>
      <c r="B155" s="4" t="s">
        <v>1000</v>
      </c>
      <c r="C155" s="4" t="s">
        <v>1175</v>
      </c>
      <c r="D155" s="4" t="s">
        <v>1176</v>
      </c>
      <c r="E155" s="4" t="s">
        <v>638</v>
      </c>
      <c r="F155" s="4" t="s">
        <v>1177</v>
      </c>
      <c r="G155" s="5" t="s">
        <v>313</v>
      </c>
      <c r="H155" s="5" t="s">
        <v>1004</v>
      </c>
      <c r="I155" s="4" t="s">
        <v>1178</v>
      </c>
    </row>
    <row r="156" ht="40" customHeight="1" spans="1:9">
      <c r="A156" s="4" t="s">
        <v>999</v>
      </c>
      <c r="B156" s="4" t="s">
        <v>1000</v>
      </c>
      <c r="C156" s="4" t="s">
        <v>1179</v>
      </c>
      <c r="D156" s="4" t="s">
        <v>637</v>
      </c>
      <c r="E156" s="4" t="s">
        <v>638</v>
      </c>
      <c r="F156" s="4" t="s">
        <v>639</v>
      </c>
      <c r="G156" s="5" t="s">
        <v>636</v>
      </c>
      <c r="H156" s="5" t="s">
        <v>1031</v>
      </c>
      <c r="I156" s="4" t="s">
        <v>1032</v>
      </c>
    </row>
    <row r="157" ht="40" customHeight="1" spans="1:9">
      <c r="A157" s="4" t="s">
        <v>999</v>
      </c>
      <c r="B157" s="4" t="s">
        <v>1000</v>
      </c>
      <c r="C157" s="4" t="s">
        <v>1180</v>
      </c>
      <c r="D157" s="4" t="s">
        <v>1181</v>
      </c>
      <c r="E157" s="4" t="s">
        <v>638</v>
      </c>
      <c r="F157" s="4" t="s">
        <v>1182</v>
      </c>
      <c r="G157" s="5" t="s">
        <v>466</v>
      </c>
      <c r="H157" s="5" t="s">
        <v>1004</v>
      </c>
      <c r="I157" s="4" t="s">
        <v>1183</v>
      </c>
    </row>
    <row r="158" ht="40" customHeight="1" spans="1:9">
      <c r="A158" s="4" t="s">
        <v>999</v>
      </c>
      <c r="B158" s="4" t="s">
        <v>1000</v>
      </c>
      <c r="C158" s="4" t="s">
        <v>1184</v>
      </c>
      <c r="D158" s="4" t="s">
        <v>642</v>
      </c>
      <c r="E158" s="4" t="s">
        <v>643</v>
      </c>
      <c r="F158" s="4" t="s">
        <v>646</v>
      </c>
      <c r="G158" s="5" t="s">
        <v>641</v>
      </c>
      <c r="H158" s="5" t="s">
        <v>1031</v>
      </c>
      <c r="I158" s="4" t="s">
        <v>1032</v>
      </c>
    </row>
    <row r="159" ht="40" customHeight="1" spans="1:9">
      <c r="A159" s="4" t="s">
        <v>999</v>
      </c>
      <c r="B159" s="4" t="s">
        <v>1000</v>
      </c>
      <c r="C159" s="4" t="s">
        <v>1185</v>
      </c>
      <c r="D159" s="4" t="s">
        <v>650</v>
      </c>
      <c r="E159" s="4" t="s">
        <v>651</v>
      </c>
      <c r="F159" s="4" t="s">
        <v>652</v>
      </c>
      <c r="G159" s="5" t="s">
        <v>649</v>
      </c>
      <c r="H159" s="5" t="s">
        <v>1031</v>
      </c>
      <c r="I159" s="4" t="s">
        <v>1032</v>
      </c>
    </row>
    <row r="160" ht="40" customHeight="1" spans="1:9">
      <c r="A160" s="4" t="s">
        <v>999</v>
      </c>
      <c r="B160" s="4" t="s">
        <v>1000</v>
      </c>
      <c r="C160" s="4" t="s">
        <v>1186</v>
      </c>
      <c r="D160" s="4" t="s">
        <v>1187</v>
      </c>
      <c r="E160" s="4" t="s">
        <v>656</v>
      </c>
      <c r="F160" s="4" t="s">
        <v>1188</v>
      </c>
      <c r="G160" s="5" t="s">
        <v>412</v>
      </c>
      <c r="H160" s="5" t="s">
        <v>1004</v>
      </c>
      <c r="I160" s="4" t="s">
        <v>1189</v>
      </c>
    </row>
    <row r="161" ht="40" customHeight="1" spans="1:9">
      <c r="A161" s="4" t="s">
        <v>999</v>
      </c>
      <c r="B161" s="4" t="s">
        <v>1000</v>
      </c>
      <c r="C161" s="4" t="s">
        <v>1190</v>
      </c>
      <c r="D161" s="4" t="s">
        <v>1191</v>
      </c>
      <c r="E161" s="4" t="s">
        <v>656</v>
      </c>
      <c r="F161" s="4" t="s">
        <v>1192</v>
      </c>
      <c r="G161" s="5" t="s">
        <v>412</v>
      </c>
      <c r="H161" s="5" t="s">
        <v>1004</v>
      </c>
      <c r="I161" s="4" t="s">
        <v>1189</v>
      </c>
    </row>
    <row r="162" ht="40" customHeight="1" spans="1:9">
      <c r="A162" s="4" t="s">
        <v>999</v>
      </c>
      <c r="B162" s="4" t="s">
        <v>1000</v>
      </c>
      <c r="C162" s="4" t="s">
        <v>1193</v>
      </c>
      <c r="D162" s="4" t="s">
        <v>1194</v>
      </c>
      <c r="E162" s="4" t="s">
        <v>656</v>
      </c>
      <c r="F162" s="4" t="s">
        <v>1195</v>
      </c>
      <c r="G162" s="5" t="s">
        <v>438</v>
      </c>
      <c r="H162" s="5" t="s">
        <v>1004</v>
      </c>
      <c r="I162" s="4" t="s">
        <v>1196</v>
      </c>
    </row>
    <row r="163" ht="40" customHeight="1" spans="1:9">
      <c r="A163" s="4" t="s">
        <v>999</v>
      </c>
      <c r="B163" s="4" t="s">
        <v>1000</v>
      </c>
      <c r="C163" s="4" t="s">
        <v>1197</v>
      </c>
      <c r="D163" s="4" t="s">
        <v>1198</v>
      </c>
      <c r="E163" s="4" t="s">
        <v>656</v>
      </c>
      <c r="F163" s="4" t="s">
        <v>1199</v>
      </c>
      <c r="G163" s="5" t="s">
        <v>429</v>
      </c>
      <c r="H163" s="5" t="s">
        <v>1004</v>
      </c>
      <c r="I163" s="4" t="s">
        <v>1200</v>
      </c>
    </row>
    <row r="164" ht="40" customHeight="1" spans="1:9">
      <c r="A164" s="4" t="s">
        <v>999</v>
      </c>
      <c r="B164" s="4" t="s">
        <v>1000</v>
      </c>
      <c r="C164" s="4" t="s">
        <v>1201</v>
      </c>
      <c r="D164" s="4" t="s">
        <v>1202</v>
      </c>
      <c r="E164" s="4" t="s">
        <v>656</v>
      </c>
      <c r="F164" s="4" t="s">
        <v>1203</v>
      </c>
      <c r="G164" s="5" t="s">
        <v>429</v>
      </c>
      <c r="H164" s="5" t="s">
        <v>1004</v>
      </c>
      <c r="I164" s="4" t="s">
        <v>1200</v>
      </c>
    </row>
    <row r="165" ht="40" customHeight="1" spans="1:9">
      <c r="A165" s="4" t="s">
        <v>999</v>
      </c>
      <c r="B165" s="4" t="s">
        <v>1000</v>
      </c>
      <c r="C165" s="4" t="s">
        <v>1204</v>
      </c>
      <c r="D165" s="4" t="s">
        <v>655</v>
      </c>
      <c r="E165" s="4" t="s">
        <v>656</v>
      </c>
      <c r="F165" s="4" t="s">
        <v>657</v>
      </c>
      <c r="G165" s="5" t="s">
        <v>654</v>
      </c>
      <c r="H165" s="5" t="s">
        <v>1031</v>
      </c>
      <c r="I165" s="4" t="s">
        <v>1032</v>
      </c>
    </row>
    <row r="166" ht="40" customHeight="1" spans="1:9">
      <c r="A166" s="4" t="s">
        <v>999</v>
      </c>
      <c r="B166" s="4" t="s">
        <v>1000</v>
      </c>
      <c r="C166" s="4" t="s">
        <v>1205</v>
      </c>
      <c r="D166" s="4" t="s">
        <v>661</v>
      </c>
      <c r="E166" s="4" t="s">
        <v>662</v>
      </c>
      <c r="F166" s="4" t="s">
        <v>663</v>
      </c>
      <c r="G166" s="5" t="s">
        <v>660</v>
      </c>
      <c r="H166" s="5" t="s">
        <v>1031</v>
      </c>
      <c r="I166" s="4" t="s">
        <v>1032</v>
      </c>
    </row>
    <row r="167" ht="40" customHeight="1" spans="1:9">
      <c r="A167" s="4" t="s">
        <v>999</v>
      </c>
      <c r="B167" s="4" t="s">
        <v>1000</v>
      </c>
      <c r="C167" s="4" t="s">
        <v>1206</v>
      </c>
      <c r="D167" s="4" t="s">
        <v>666</v>
      </c>
      <c r="E167" s="4" t="s">
        <v>667</v>
      </c>
      <c r="F167" s="4" t="s">
        <v>668</v>
      </c>
      <c r="G167" s="5" t="s">
        <v>665</v>
      </c>
      <c r="H167" s="5" t="s">
        <v>1031</v>
      </c>
      <c r="I167" s="4" t="s">
        <v>1032</v>
      </c>
    </row>
    <row r="168" ht="40" customHeight="1" spans="1:9">
      <c r="A168" s="4" t="s">
        <v>999</v>
      </c>
      <c r="B168" s="4" t="s">
        <v>1000</v>
      </c>
      <c r="C168" s="4" t="s">
        <v>1207</v>
      </c>
      <c r="D168" s="4" t="s">
        <v>671</v>
      </c>
      <c r="E168" s="4" t="s">
        <v>672</v>
      </c>
      <c r="F168" s="4" t="s">
        <v>673</v>
      </c>
      <c r="G168" s="5" t="s">
        <v>670</v>
      </c>
      <c r="H168" s="5" t="s">
        <v>1031</v>
      </c>
      <c r="I168" s="4" t="s">
        <v>1032</v>
      </c>
    </row>
    <row r="169" ht="40" customHeight="1" spans="1:9">
      <c r="A169" s="4" t="s">
        <v>999</v>
      </c>
      <c r="B169" s="4" t="s">
        <v>1000</v>
      </c>
      <c r="C169" s="4" t="s">
        <v>1208</v>
      </c>
      <c r="D169" s="4" t="s">
        <v>1209</v>
      </c>
      <c r="E169" s="4" t="s">
        <v>1210</v>
      </c>
      <c r="F169" s="4" t="s">
        <v>1211</v>
      </c>
      <c r="G169" s="5" t="s">
        <v>451</v>
      </c>
      <c r="H169" s="5" t="s">
        <v>1004</v>
      </c>
      <c r="I169" s="4" t="s">
        <v>1212</v>
      </c>
    </row>
    <row r="170" ht="40" customHeight="1" spans="1:9">
      <c r="A170" s="4" t="s">
        <v>999</v>
      </c>
      <c r="B170" s="4" t="s">
        <v>1000</v>
      </c>
      <c r="C170" s="4" t="s">
        <v>1213</v>
      </c>
      <c r="D170" s="4" t="s">
        <v>1214</v>
      </c>
      <c r="E170" s="4" t="s">
        <v>589</v>
      </c>
      <c r="F170" s="4" t="s">
        <v>1215</v>
      </c>
      <c r="G170" s="5" t="s">
        <v>470</v>
      </c>
      <c r="H170" s="5" t="s">
        <v>1004</v>
      </c>
      <c r="I170" s="4" t="s">
        <v>1216</v>
      </c>
    </row>
    <row r="171" ht="40" customHeight="1" spans="1:9">
      <c r="A171" s="4" t="s">
        <v>999</v>
      </c>
      <c r="B171" s="4" t="s">
        <v>1000</v>
      </c>
      <c r="C171" s="4" t="s">
        <v>1217</v>
      </c>
      <c r="D171" s="4" t="s">
        <v>676</v>
      </c>
      <c r="E171" s="4" t="s">
        <v>677</v>
      </c>
      <c r="F171" s="4" t="s">
        <v>678</v>
      </c>
      <c r="G171" s="5" t="s">
        <v>675</v>
      </c>
      <c r="H171" s="5" t="s">
        <v>1031</v>
      </c>
      <c r="I171" s="4" t="s">
        <v>1032</v>
      </c>
    </row>
    <row r="172" ht="40" customHeight="1" spans="1:9">
      <c r="A172" s="4" t="s">
        <v>999</v>
      </c>
      <c r="B172" s="4" t="s">
        <v>1000</v>
      </c>
      <c r="C172" s="4" t="s">
        <v>1218</v>
      </c>
      <c r="D172" s="4" t="s">
        <v>1219</v>
      </c>
      <c r="E172" s="4" t="s">
        <v>677</v>
      </c>
      <c r="F172" s="4" t="s">
        <v>1220</v>
      </c>
      <c r="G172" s="5" t="s">
        <v>365</v>
      </c>
      <c r="H172" s="5" t="s">
        <v>1004</v>
      </c>
      <c r="I172" s="4" t="s">
        <v>1221</v>
      </c>
    </row>
    <row r="173" ht="40" customHeight="1" spans="1:9">
      <c r="A173" s="4" t="s">
        <v>999</v>
      </c>
      <c r="B173" s="4" t="s">
        <v>1000</v>
      </c>
      <c r="C173" s="4" t="s">
        <v>1222</v>
      </c>
      <c r="D173" s="4" t="s">
        <v>1223</v>
      </c>
      <c r="E173" s="4" t="s">
        <v>677</v>
      </c>
      <c r="F173" s="4" t="s">
        <v>1224</v>
      </c>
      <c r="G173" s="5" t="s">
        <v>375</v>
      </c>
      <c r="H173" s="5" t="s">
        <v>1004</v>
      </c>
      <c r="I173" s="4" t="s">
        <v>1225</v>
      </c>
    </row>
    <row r="174" ht="40" customHeight="1" spans="1:9">
      <c r="A174" s="4" t="s">
        <v>999</v>
      </c>
      <c r="B174" s="4" t="s">
        <v>1000</v>
      </c>
      <c r="C174" s="4" t="s">
        <v>1226</v>
      </c>
      <c r="D174" s="4" t="s">
        <v>682</v>
      </c>
      <c r="E174" s="4" t="s">
        <v>683</v>
      </c>
      <c r="F174" s="4" t="s">
        <v>684</v>
      </c>
      <c r="G174" s="5" t="s">
        <v>681</v>
      </c>
      <c r="H174" s="5" t="s">
        <v>1031</v>
      </c>
      <c r="I174" s="4" t="s">
        <v>1032</v>
      </c>
    </row>
    <row r="175" ht="40" customHeight="1" spans="1:9">
      <c r="A175" s="4" t="s">
        <v>999</v>
      </c>
      <c r="B175" s="4" t="s">
        <v>1000</v>
      </c>
      <c r="C175" s="4" t="s">
        <v>1227</v>
      </c>
      <c r="D175" s="4" t="s">
        <v>1228</v>
      </c>
      <c r="E175" s="4" t="s">
        <v>703</v>
      </c>
      <c r="F175" s="4" t="s">
        <v>1229</v>
      </c>
      <c r="G175" s="5" t="s">
        <v>387</v>
      </c>
      <c r="H175" s="5" t="s">
        <v>1004</v>
      </c>
      <c r="I175" s="4" t="s">
        <v>1230</v>
      </c>
    </row>
    <row r="176" ht="40" customHeight="1" spans="1:9">
      <c r="A176" s="4" t="s">
        <v>999</v>
      </c>
      <c r="B176" s="4" t="s">
        <v>1000</v>
      </c>
      <c r="C176" s="4" t="s">
        <v>1231</v>
      </c>
      <c r="D176" s="4" t="s">
        <v>1232</v>
      </c>
      <c r="E176" s="4" t="s">
        <v>677</v>
      </c>
      <c r="F176" s="4" t="s">
        <v>1233</v>
      </c>
      <c r="G176" s="5" t="s">
        <v>379</v>
      </c>
      <c r="H176" s="5" t="s">
        <v>1004</v>
      </c>
      <c r="I176" s="4" t="s">
        <v>1234</v>
      </c>
    </row>
    <row r="177" ht="40" customHeight="1" spans="1:9">
      <c r="A177" s="4" t="s">
        <v>999</v>
      </c>
      <c r="B177" s="4" t="s">
        <v>1000</v>
      </c>
      <c r="C177" s="4" t="s">
        <v>1235</v>
      </c>
      <c r="D177" s="4" t="s">
        <v>1236</v>
      </c>
      <c r="E177" s="4" t="s">
        <v>677</v>
      </c>
      <c r="F177" s="4" t="s">
        <v>1237</v>
      </c>
      <c r="G177" s="5" t="s">
        <v>383</v>
      </c>
      <c r="H177" s="5" t="s">
        <v>1004</v>
      </c>
      <c r="I177" s="4" t="s">
        <v>1238</v>
      </c>
    </row>
    <row r="178" ht="40" customHeight="1" spans="1:9">
      <c r="A178" s="4" t="s">
        <v>999</v>
      </c>
      <c r="B178" s="4" t="s">
        <v>1000</v>
      </c>
      <c r="C178" s="4" t="s">
        <v>1239</v>
      </c>
      <c r="D178" s="4" t="s">
        <v>1240</v>
      </c>
      <c r="E178" s="4" t="s">
        <v>677</v>
      </c>
      <c r="F178" s="4" t="s">
        <v>1241</v>
      </c>
      <c r="G178" s="5" t="s">
        <v>391</v>
      </c>
      <c r="H178" s="5" t="s">
        <v>1004</v>
      </c>
      <c r="I178" s="4" t="s">
        <v>1242</v>
      </c>
    </row>
    <row r="179" ht="40" customHeight="1" spans="1:9">
      <c r="A179" s="4" t="s">
        <v>999</v>
      </c>
      <c r="B179" s="4" t="s">
        <v>1000</v>
      </c>
      <c r="C179" s="4" t="s">
        <v>1243</v>
      </c>
      <c r="D179" s="4" t="s">
        <v>687</v>
      </c>
      <c r="E179" s="4" t="s">
        <v>688</v>
      </c>
      <c r="F179" s="4" t="s">
        <v>689</v>
      </c>
      <c r="G179" s="5" t="s">
        <v>686</v>
      </c>
      <c r="H179" s="5" t="s">
        <v>1031</v>
      </c>
      <c r="I179" s="4" t="s">
        <v>1032</v>
      </c>
    </row>
    <row r="180" ht="40" customHeight="1" spans="1:9">
      <c r="A180" s="4" t="s">
        <v>999</v>
      </c>
      <c r="B180" s="4" t="s">
        <v>1000</v>
      </c>
      <c r="C180" s="4" t="s">
        <v>1244</v>
      </c>
      <c r="D180" s="4" t="s">
        <v>1245</v>
      </c>
      <c r="E180" s="4" t="s">
        <v>1246</v>
      </c>
      <c r="F180" s="4" t="s">
        <v>1247</v>
      </c>
      <c r="G180" s="5" t="s">
        <v>400</v>
      </c>
      <c r="H180" s="5" t="s">
        <v>1004</v>
      </c>
      <c r="I180" s="4" t="s">
        <v>1248</v>
      </c>
    </row>
    <row r="181" ht="40" customHeight="1" spans="1:9">
      <c r="A181" s="4" t="s">
        <v>999</v>
      </c>
      <c r="B181" s="4" t="s">
        <v>1000</v>
      </c>
      <c r="C181" s="4" t="s">
        <v>1249</v>
      </c>
      <c r="D181" s="4" t="s">
        <v>692</v>
      </c>
      <c r="E181" s="4" t="s">
        <v>677</v>
      </c>
      <c r="F181" s="4" t="s">
        <v>693</v>
      </c>
      <c r="G181" s="5" t="s">
        <v>691</v>
      </c>
      <c r="H181" s="5" t="s">
        <v>1031</v>
      </c>
      <c r="I181" s="4" t="s">
        <v>1032</v>
      </c>
    </row>
    <row r="182" ht="40" customHeight="1" spans="1:9">
      <c r="A182" s="4" t="s">
        <v>999</v>
      </c>
      <c r="B182" s="4" t="s">
        <v>1000</v>
      </c>
      <c r="C182" s="4" t="s">
        <v>21</v>
      </c>
      <c r="D182" s="4" t="s">
        <v>1250</v>
      </c>
      <c r="E182" s="4" t="s">
        <v>703</v>
      </c>
      <c r="F182" s="4" t="s">
        <v>1251</v>
      </c>
      <c r="G182" s="5" t="s">
        <v>332</v>
      </c>
      <c r="H182" s="5" t="s">
        <v>1004</v>
      </c>
      <c r="I182" s="4" t="s">
        <v>1252</v>
      </c>
    </row>
    <row r="183" ht="40" customHeight="1" spans="1:9">
      <c r="A183" s="4" t="s">
        <v>999</v>
      </c>
      <c r="B183" s="4" t="s">
        <v>1000</v>
      </c>
      <c r="C183" s="4" t="s">
        <v>140</v>
      </c>
      <c r="D183" s="4" t="s">
        <v>1253</v>
      </c>
      <c r="E183" s="4" t="s">
        <v>703</v>
      </c>
      <c r="F183" s="4" t="s">
        <v>1254</v>
      </c>
      <c r="G183" s="5" t="s">
        <v>433</v>
      </c>
      <c r="H183" s="5" t="s">
        <v>1004</v>
      </c>
      <c r="I183" s="4" t="s">
        <v>1255</v>
      </c>
    </row>
    <row r="184" ht="40" customHeight="1" spans="1:9">
      <c r="A184" s="4" t="s">
        <v>999</v>
      </c>
      <c r="B184" s="4" t="s">
        <v>1000</v>
      </c>
      <c r="C184" s="4" t="s">
        <v>152</v>
      </c>
      <c r="D184" s="4" t="s">
        <v>1256</v>
      </c>
      <c r="E184" s="4" t="s">
        <v>1257</v>
      </c>
      <c r="F184" s="4" t="s">
        <v>1258</v>
      </c>
      <c r="G184" s="5" t="s">
        <v>354</v>
      </c>
      <c r="H184" s="5" t="s">
        <v>1004</v>
      </c>
      <c r="I184" s="4" t="s">
        <v>1259</v>
      </c>
    </row>
    <row r="185" ht="40" customHeight="1" spans="1:9">
      <c r="A185" s="4" t="s">
        <v>999</v>
      </c>
      <c r="B185" s="4" t="s">
        <v>1000</v>
      </c>
      <c r="C185" s="4" t="s">
        <v>335</v>
      </c>
      <c r="D185" s="4" t="s">
        <v>1260</v>
      </c>
      <c r="E185" s="4" t="s">
        <v>1261</v>
      </c>
      <c r="F185" s="4" t="s">
        <v>1262</v>
      </c>
      <c r="G185" s="5" t="s">
        <v>342</v>
      </c>
      <c r="H185" s="5" t="s">
        <v>1004</v>
      </c>
      <c r="I185" s="4" t="s">
        <v>1263</v>
      </c>
    </row>
    <row r="186" ht="40" customHeight="1" spans="1:9">
      <c r="A186" s="4" t="s">
        <v>999</v>
      </c>
      <c r="B186" s="4" t="s">
        <v>1000</v>
      </c>
      <c r="C186" s="4" t="s">
        <v>345</v>
      </c>
      <c r="D186" s="4" t="s">
        <v>1264</v>
      </c>
      <c r="E186" s="4" t="s">
        <v>703</v>
      </c>
      <c r="F186" s="4" t="s">
        <v>1265</v>
      </c>
      <c r="G186" s="5" t="s">
        <v>350</v>
      </c>
      <c r="H186" s="5" t="s">
        <v>1004</v>
      </c>
      <c r="I186" s="4" t="s">
        <v>1266</v>
      </c>
    </row>
    <row r="187" ht="40" customHeight="1" spans="1:9">
      <c r="A187" s="4" t="s">
        <v>999</v>
      </c>
      <c r="B187" s="4" t="s">
        <v>1000</v>
      </c>
      <c r="C187" s="4" t="s">
        <v>369</v>
      </c>
      <c r="D187" s="4" t="s">
        <v>696</v>
      </c>
      <c r="E187" s="4" t="s">
        <v>697</v>
      </c>
      <c r="F187" s="4" t="s">
        <v>698</v>
      </c>
      <c r="G187" s="5" t="s">
        <v>695</v>
      </c>
      <c r="H187" s="5" t="s">
        <v>1031</v>
      </c>
      <c r="I187" s="4" t="s">
        <v>1032</v>
      </c>
    </row>
    <row r="188" ht="40" customHeight="1" spans="1:9">
      <c r="A188" s="4" t="s">
        <v>999</v>
      </c>
      <c r="B188" s="4" t="s">
        <v>1000</v>
      </c>
      <c r="C188" s="4" t="s">
        <v>446</v>
      </c>
      <c r="D188" s="4" t="s">
        <v>702</v>
      </c>
      <c r="E188" s="4" t="s">
        <v>703</v>
      </c>
      <c r="F188" s="4" t="s">
        <v>704</v>
      </c>
      <c r="G188" s="5" t="s">
        <v>701</v>
      </c>
      <c r="H188" s="5" t="s">
        <v>1031</v>
      </c>
      <c r="I188" s="4" t="s">
        <v>1032</v>
      </c>
    </row>
    <row r="189" ht="40" customHeight="1" spans="1:9">
      <c r="A189" s="4" t="s">
        <v>999</v>
      </c>
      <c r="B189" s="4" t="s">
        <v>1000</v>
      </c>
      <c r="C189" s="4" t="s">
        <v>416</v>
      </c>
      <c r="D189" s="4" t="s">
        <v>707</v>
      </c>
      <c r="E189" s="4" t="s">
        <v>708</v>
      </c>
      <c r="F189" s="4" t="s">
        <v>709</v>
      </c>
      <c r="G189" s="5" t="s">
        <v>706</v>
      </c>
      <c r="H189" s="5" t="s">
        <v>1031</v>
      </c>
      <c r="I189" s="4" t="s">
        <v>1032</v>
      </c>
    </row>
    <row r="190" ht="40" customHeight="1" spans="1:9">
      <c r="A190" s="4" t="s">
        <v>999</v>
      </c>
      <c r="B190" s="4" t="s">
        <v>1000</v>
      </c>
      <c r="C190" s="4" t="s">
        <v>316</v>
      </c>
      <c r="D190" s="4" t="s">
        <v>1267</v>
      </c>
      <c r="E190" s="4" t="s">
        <v>1268</v>
      </c>
      <c r="F190" s="4" t="s">
        <v>1269</v>
      </c>
      <c r="G190" s="5" t="s">
        <v>514</v>
      </c>
      <c r="H190" s="5" t="s">
        <v>1004</v>
      </c>
      <c r="I190" s="4" t="s">
        <v>1270</v>
      </c>
    </row>
    <row r="191" ht="40" customHeight="1" spans="1:9">
      <c r="A191" s="4" t="s">
        <v>999</v>
      </c>
      <c r="B191" s="4" t="s">
        <v>1000</v>
      </c>
      <c r="C191" s="4" t="s">
        <v>478</v>
      </c>
      <c r="D191" s="4" t="s">
        <v>1271</v>
      </c>
      <c r="E191" s="4" t="s">
        <v>1272</v>
      </c>
      <c r="F191" s="4" t="s">
        <v>1273</v>
      </c>
      <c r="G191" s="5" t="s">
        <v>395</v>
      </c>
      <c r="H191" s="5" t="s">
        <v>1004</v>
      </c>
      <c r="I191" s="4" t="s">
        <v>1274</v>
      </c>
    </row>
    <row r="192" ht="40" customHeight="1" spans="1:9">
      <c r="A192" s="4" t="s">
        <v>999</v>
      </c>
      <c r="B192" s="4" t="s">
        <v>1000</v>
      </c>
      <c r="C192" s="4" t="s">
        <v>495</v>
      </c>
      <c r="D192" s="4" t="s">
        <v>712</v>
      </c>
      <c r="E192" s="4" t="s">
        <v>703</v>
      </c>
      <c r="F192" s="4" t="s">
        <v>713</v>
      </c>
      <c r="G192" s="5" t="s">
        <v>711</v>
      </c>
      <c r="H192" s="5" t="s">
        <v>1031</v>
      </c>
      <c r="I192" s="4" t="s">
        <v>1032</v>
      </c>
    </row>
    <row r="193" ht="40" customHeight="1" spans="1:9">
      <c r="A193" s="4" t="s">
        <v>999</v>
      </c>
      <c r="B193" s="4" t="s">
        <v>1000</v>
      </c>
      <c r="C193" s="4" t="s">
        <v>644</v>
      </c>
      <c r="D193" s="4" t="s">
        <v>1275</v>
      </c>
      <c r="E193" s="4" t="s">
        <v>703</v>
      </c>
      <c r="F193" s="4" t="s">
        <v>1276</v>
      </c>
      <c r="G193" s="5" t="s">
        <v>332</v>
      </c>
      <c r="H193" s="5" t="s">
        <v>1004</v>
      </c>
      <c r="I193" s="4" t="s">
        <v>1252</v>
      </c>
    </row>
    <row r="194" ht="40" customHeight="1" spans="1:9">
      <c r="A194" s="4" t="s">
        <v>999</v>
      </c>
      <c r="B194" s="4" t="s">
        <v>1000</v>
      </c>
      <c r="C194" s="4" t="s">
        <v>1277</v>
      </c>
      <c r="D194" s="4" t="s">
        <v>1278</v>
      </c>
      <c r="E194" s="4" t="s">
        <v>1279</v>
      </c>
      <c r="F194" s="4" t="s">
        <v>1280</v>
      </c>
      <c r="G194" s="5" t="s">
        <v>359</v>
      </c>
      <c r="H194" s="5" t="s">
        <v>1004</v>
      </c>
      <c r="I194" s="4" t="s">
        <v>1281</v>
      </c>
    </row>
    <row r="195" ht="40" customHeight="1" spans="1:9">
      <c r="A195" s="4" t="s">
        <v>999</v>
      </c>
      <c r="B195" s="4" t="s">
        <v>1000</v>
      </c>
      <c r="C195" s="4" t="s">
        <v>1282</v>
      </c>
      <c r="D195" s="4" t="s">
        <v>716</v>
      </c>
      <c r="E195" s="4" t="s">
        <v>717</v>
      </c>
      <c r="F195" s="4" t="s">
        <v>718</v>
      </c>
      <c r="G195" s="5" t="s">
        <v>715</v>
      </c>
      <c r="H195" s="5" t="s">
        <v>1031</v>
      </c>
      <c r="I195" s="4" t="s">
        <v>1032</v>
      </c>
    </row>
    <row r="196" ht="40" customHeight="1" spans="1:9">
      <c r="A196" s="4" t="s">
        <v>999</v>
      </c>
      <c r="B196" s="4" t="s">
        <v>1000</v>
      </c>
      <c r="C196" s="4" t="s">
        <v>1283</v>
      </c>
      <c r="D196" s="4" t="s">
        <v>1284</v>
      </c>
      <c r="E196" s="4" t="s">
        <v>589</v>
      </c>
      <c r="F196" s="4" t="s">
        <v>1285</v>
      </c>
      <c r="G196" s="5" t="s">
        <v>474</v>
      </c>
      <c r="H196" s="5" t="s">
        <v>1004</v>
      </c>
      <c r="I196" s="4" t="s">
        <v>1286</v>
      </c>
    </row>
    <row r="197" ht="40" customHeight="1" spans="1:9">
      <c r="A197" s="4" t="s">
        <v>999</v>
      </c>
      <c r="B197" s="4" t="s">
        <v>1000</v>
      </c>
      <c r="C197" s="4" t="s">
        <v>1287</v>
      </c>
      <c r="D197" s="4" t="s">
        <v>1288</v>
      </c>
      <c r="E197" s="4" t="s">
        <v>589</v>
      </c>
      <c r="F197" s="4" t="s">
        <v>1289</v>
      </c>
      <c r="G197" s="5" t="s">
        <v>510</v>
      </c>
      <c r="H197" s="5" t="s">
        <v>1004</v>
      </c>
      <c r="I197" s="4" t="s">
        <v>1290</v>
      </c>
    </row>
    <row r="198" ht="40" customHeight="1" spans="1:9">
      <c r="A198" s="4" t="s">
        <v>999</v>
      </c>
      <c r="B198" s="4" t="s">
        <v>1000</v>
      </c>
      <c r="C198" s="4" t="s">
        <v>1291</v>
      </c>
      <c r="D198" s="4" t="s">
        <v>721</v>
      </c>
      <c r="E198" s="4" t="s">
        <v>589</v>
      </c>
      <c r="F198" s="4" t="s">
        <v>722</v>
      </c>
      <c r="G198" s="5" t="s">
        <v>720</v>
      </c>
      <c r="H198" s="5" t="s">
        <v>1031</v>
      </c>
      <c r="I198" s="4" t="s">
        <v>1032</v>
      </c>
    </row>
    <row r="199" ht="40" customHeight="1" spans="1:9">
      <c r="A199" s="4" t="s">
        <v>999</v>
      </c>
      <c r="B199" s="4" t="s">
        <v>1000</v>
      </c>
      <c r="C199" s="4" t="s">
        <v>1292</v>
      </c>
      <c r="D199" s="4" t="s">
        <v>1293</v>
      </c>
      <c r="E199" s="4" t="s">
        <v>589</v>
      </c>
      <c r="F199" s="4" t="s">
        <v>1294</v>
      </c>
      <c r="G199" s="5" t="s">
        <v>484</v>
      </c>
      <c r="H199" s="5" t="s">
        <v>1004</v>
      </c>
      <c r="I199" s="4" t="s">
        <v>1295</v>
      </c>
    </row>
    <row r="200" ht="40" customHeight="1" spans="1:9">
      <c r="A200" s="4" t="s">
        <v>999</v>
      </c>
      <c r="B200" s="4" t="s">
        <v>1000</v>
      </c>
      <c r="C200" s="4" t="s">
        <v>1296</v>
      </c>
      <c r="D200" s="4" t="s">
        <v>1297</v>
      </c>
      <c r="E200" s="4" t="s">
        <v>589</v>
      </c>
      <c r="F200" s="4" t="s">
        <v>1298</v>
      </c>
      <c r="G200" s="5" t="s">
        <v>506</v>
      </c>
      <c r="H200" s="5" t="s">
        <v>1004</v>
      </c>
      <c r="I200" s="4" t="s">
        <v>1299</v>
      </c>
    </row>
    <row r="201" ht="40" customHeight="1" spans="1:9">
      <c r="A201" s="4" t="s">
        <v>999</v>
      </c>
      <c r="B201" s="4" t="s">
        <v>1000</v>
      </c>
      <c r="C201" s="4" t="s">
        <v>1300</v>
      </c>
      <c r="D201" s="4" t="s">
        <v>726</v>
      </c>
      <c r="E201" s="4" t="s">
        <v>727</v>
      </c>
      <c r="F201" s="4" t="s">
        <v>728</v>
      </c>
      <c r="G201" s="5" t="s">
        <v>725</v>
      </c>
      <c r="H201" s="5" t="s">
        <v>1031</v>
      </c>
      <c r="I201" s="4" t="s">
        <v>1032</v>
      </c>
    </row>
    <row r="202" ht="40" customHeight="1" spans="1:9">
      <c r="A202" s="4" t="s">
        <v>999</v>
      </c>
      <c r="B202" s="4" t="s">
        <v>1000</v>
      </c>
      <c r="C202" s="4" t="s">
        <v>1301</v>
      </c>
      <c r="D202" s="4" t="s">
        <v>1302</v>
      </c>
      <c r="E202" s="4" t="s">
        <v>547</v>
      </c>
      <c r="F202" s="4" t="s">
        <v>1303</v>
      </c>
      <c r="G202" s="5" t="s">
        <v>492</v>
      </c>
      <c r="H202" s="5" t="s">
        <v>1004</v>
      </c>
      <c r="I202" s="4" t="s">
        <v>1304</v>
      </c>
    </row>
    <row r="203" ht="40" customHeight="1" spans="1:9">
      <c r="A203" s="4" t="s">
        <v>999</v>
      </c>
      <c r="B203" s="4" t="s">
        <v>1000</v>
      </c>
      <c r="C203" s="4" t="s">
        <v>1305</v>
      </c>
      <c r="D203" s="4" t="s">
        <v>731</v>
      </c>
      <c r="E203" s="4" t="s">
        <v>547</v>
      </c>
      <c r="F203" s="4" t="s">
        <v>732</v>
      </c>
      <c r="G203" s="5" t="s">
        <v>730</v>
      </c>
      <c r="H203" s="5" t="s">
        <v>1031</v>
      </c>
      <c r="I203" s="4" t="s">
        <v>1032</v>
      </c>
    </row>
    <row r="204" ht="40" customHeight="1" spans="1:9">
      <c r="A204" s="4" t="s">
        <v>999</v>
      </c>
      <c r="B204" s="4" t="s">
        <v>1000</v>
      </c>
      <c r="C204" s="4" t="s">
        <v>1306</v>
      </c>
      <c r="D204" s="4" t="s">
        <v>735</v>
      </c>
      <c r="E204" s="4" t="s">
        <v>547</v>
      </c>
      <c r="F204" s="4" t="s">
        <v>736</v>
      </c>
      <c r="G204" s="5" t="s">
        <v>734</v>
      </c>
      <c r="H204" s="5" t="s">
        <v>1031</v>
      </c>
      <c r="I204" s="4" t="s">
        <v>1032</v>
      </c>
    </row>
    <row r="205" ht="40" customHeight="1" spans="1:9">
      <c r="A205" s="4" t="s">
        <v>999</v>
      </c>
      <c r="B205" s="4" t="s">
        <v>1000</v>
      </c>
      <c r="C205" s="4" t="s">
        <v>1307</v>
      </c>
      <c r="D205" s="4" t="s">
        <v>739</v>
      </c>
      <c r="E205" s="4" t="s">
        <v>547</v>
      </c>
      <c r="F205" s="4" t="s">
        <v>740</v>
      </c>
      <c r="G205" s="5" t="s">
        <v>738</v>
      </c>
      <c r="H205" s="5" t="s">
        <v>1031</v>
      </c>
      <c r="I205" s="4" t="s">
        <v>1032</v>
      </c>
    </row>
    <row r="206" ht="40" customHeight="1" spans="1:9">
      <c r="A206" s="4" t="s">
        <v>999</v>
      </c>
      <c r="B206" s="4" t="s">
        <v>1000</v>
      </c>
      <c r="C206" s="4" t="s">
        <v>1308</v>
      </c>
      <c r="D206" s="4" t="s">
        <v>743</v>
      </c>
      <c r="E206" s="4" t="s">
        <v>589</v>
      </c>
      <c r="F206" s="4" t="s">
        <v>744</v>
      </c>
      <c r="G206" s="5" t="s">
        <v>742</v>
      </c>
      <c r="H206" s="5" t="s">
        <v>1031</v>
      </c>
      <c r="I206" s="4" t="s">
        <v>1032</v>
      </c>
    </row>
    <row r="207" ht="40" customHeight="1" spans="1:9">
      <c r="A207" s="4" t="s">
        <v>999</v>
      </c>
      <c r="B207" s="4" t="s">
        <v>1000</v>
      </c>
      <c r="C207" s="4" t="s">
        <v>1309</v>
      </c>
      <c r="D207" s="4" t="s">
        <v>1310</v>
      </c>
      <c r="E207" s="4" t="s">
        <v>1311</v>
      </c>
      <c r="F207" s="4" t="s">
        <v>1312</v>
      </c>
      <c r="G207" s="5" t="s">
        <v>488</v>
      </c>
      <c r="H207" s="5" t="s">
        <v>1004</v>
      </c>
      <c r="I207" s="4" t="s">
        <v>1313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pane ySplit="1" topLeftCell="A2" activePane="bottomLeft" state="frozen"/>
      <selection/>
      <selection pane="bottomLeft" activeCell="A1" sqref="$A1:$XFD1048576"/>
    </sheetView>
  </sheetViews>
  <sheetFormatPr defaultColWidth="9" defaultRowHeight="16.8" outlineLevelCol="1"/>
  <cols>
    <col min="1" max="1" width="25" style="1" customWidth="1"/>
    <col min="2" max="2" width="102" style="1" customWidth="1"/>
    <col min="3" max="16384" width="9" style="1"/>
  </cols>
  <sheetData>
    <row r="1" ht="30" customHeight="1" spans="1:2">
      <c r="A1" s="2" t="s">
        <v>1314</v>
      </c>
      <c r="B1" s="2" t="s">
        <v>1315</v>
      </c>
    </row>
    <row r="2" ht="39" customHeight="1" spans="1:2">
      <c r="A2" s="3" t="s">
        <v>1316</v>
      </c>
      <c r="B2" s="4" t="s">
        <v>1317</v>
      </c>
    </row>
    <row r="3" ht="39" customHeight="1" spans="1:2">
      <c r="A3" s="3" t="s">
        <v>1318</v>
      </c>
      <c r="B3" s="4" t="s">
        <v>1319</v>
      </c>
    </row>
    <row r="4" ht="39" customHeight="1" spans="1:2">
      <c r="A4" s="3" t="s">
        <v>1320</v>
      </c>
      <c r="B4" s="4" t="s">
        <v>1321</v>
      </c>
    </row>
    <row r="5" ht="39" customHeight="1" spans="1:2">
      <c r="A5" s="3" t="s">
        <v>1322</v>
      </c>
      <c r="B5" s="4" t="s">
        <v>1323</v>
      </c>
    </row>
    <row r="6" ht="39" customHeight="1" spans="1:2">
      <c r="A6" s="3" t="s">
        <v>1324</v>
      </c>
      <c r="B6" s="4" t="s">
        <v>1325</v>
      </c>
    </row>
    <row r="7" ht="39" customHeight="1" spans="1:2">
      <c r="A7" s="3" t="s">
        <v>1326</v>
      </c>
      <c r="B7" s="4" t="s">
        <v>1327</v>
      </c>
    </row>
    <row r="8" ht="39" customHeight="1" spans="1:2">
      <c r="A8" s="3" t="s">
        <v>1328</v>
      </c>
      <c r="B8" s="4" t="s">
        <v>1329</v>
      </c>
    </row>
    <row r="9" ht="39" customHeight="1" spans="1:2">
      <c r="A9" s="3" t="s">
        <v>1330</v>
      </c>
      <c r="B9" s="4" t="s">
        <v>1331</v>
      </c>
    </row>
    <row r="10" ht="39" customHeight="1" spans="1:2">
      <c r="A10" s="3" t="s">
        <v>1332</v>
      </c>
      <c r="B10" s="4" t="s">
        <v>1333</v>
      </c>
    </row>
    <row r="11" ht="39" customHeight="1" spans="1:2">
      <c r="A11" s="3" t="s">
        <v>1334</v>
      </c>
      <c r="B11" s="4" t="s">
        <v>1335</v>
      </c>
    </row>
    <row r="12" ht="39" customHeight="1" spans="1:2">
      <c r="A12" s="3" t="s">
        <v>1336</v>
      </c>
      <c r="B12" s="4" t="s">
        <v>1337</v>
      </c>
    </row>
    <row r="13" ht="39" customHeight="1" spans="1:2">
      <c r="A13" s="3" t="s">
        <v>1338</v>
      </c>
      <c r="B13" s="4" t="s">
        <v>1339</v>
      </c>
    </row>
    <row r="14" ht="39" customHeight="1" spans="1:2">
      <c r="A14" s="3" t="s">
        <v>11</v>
      </c>
      <c r="B14" s="4" t="s">
        <v>1340</v>
      </c>
    </row>
    <row r="15" ht="39" customHeight="1" spans="1:2">
      <c r="A15" s="3" t="s">
        <v>1341</v>
      </c>
      <c r="B15" s="4" t="s">
        <v>1342</v>
      </c>
    </row>
    <row r="16" ht="39" customHeight="1" spans="1:2">
      <c r="A16" s="3" t="s">
        <v>13</v>
      </c>
      <c r="B16" s="4" t="s">
        <v>1343</v>
      </c>
    </row>
    <row r="17" ht="39" customHeight="1" spans="1:2">
      <c r="A17" s="3" t="s">
        <v>1344</v>
      </c>
      <c r="B17" s="4" t="s">
        <v>1345</v>
      </c>
    </row>
    <row r="18" ht="39" customHeight="1" spans="1:2">
      <c r="A18" s="3" t="s">
        <v>1346</v>
      </c>
      <c r="B18" s="4" t="s">
        <v>1347</v>
      </c>
    </row>
    <row r="19" ht="39" customHeight="1" spans="1:2">
      <c r="A19" s="3" t="s">
        <v>1348</v>
      </c>
      <c r="B19" s="4" t="s">
        <v>1349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问题建议库</vt:lpstr>
      <vt:lpstr>合并统计</vt:lpstr>
      <vt:lpstr>原始记录追溯</vt:lpstr>
      <vt:lpstr>合并口径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dawson_gemeni</cp:lastModifiedBy>
  <dcterms:created xsi:type="dcterms:W3CDTF">2026-10-19T17:29:28Z</dcterms:created>
  <dcterms:modified xsi:type="dcterms:W3CDTF">2026-10-19T17:30:43Z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FED689157EAED6B943E3D56ADCA6BA78_42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